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drawings/drawing1.xml" ContentType="application/vnd.openxmlformats-officedocument.drawing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Materi Pelatihan Asesor APT 3.0-111018\"/>
    </mc:Choice>
  </mc:AlternateContent>
  <bookViews>
    <workbookView xWindow="0" yWindow="0" windowWidth="23040" windowHeight="9060" tabRatio="839" activeTab="5"/>
  </bookViews>
  <sheets>
    <sheet name="Menu" sheetId="14" r:id="rId1"/>
    <sheet name="Daftar Tabel" sheetId="52" r:id="rId2"/>
    <sheet name="1a1" sheetId="53" r:id="rId3"/>
    <sheet name="1a2" sheetId="54" r:id="rId4"/>
    <sheet name="1a3" sheetId="55" r:id="rId5"/>
    <sheet name="1b" sheetId="19" r:id="rId6"/>
    <sheet name="1c" sheetId="20" r:id="rId7"/>
    <sheet name="2a" sheetId="21" r:id="rId8"/>
    <sheet name="2b" sheetId="22" r:id="rId9"/>
    <sheet name="3a1" sheetId="23" r:id="rId10"/>
    <sheet name="3a2" sheetId="25" r:id="rId11"/>
    <sheet name="3a3" sheetId="26" r:id="rId12"/>
    <sheet name="3a4" sheetId="27" r:id="rId13"/>
    <sheet name="3b" sheetId="28" r:id="rId14"/>
    <sheet name="3c1" sheetId="29" r:id="rId15"/>
    <sheet name="3c2" sheetId="30" r:id="rId16"/>
    <sheet name="3d" sheetId="31" r:id="rId17"/>
    <sheet name="4a" sheetId="32" r:id="rId18"/>
    <sheet name="4b" sheetId="33" r:id="rId19"/>
    <sheet name="5a1" sheetId="34" r:id="rId20"/>
    <sheet name="5b1" sheetId="56" r:id="rId21"/>
    <sheet name="5b2" sheetId="57" r:id="rId22"/>
    <sheet name="5c1" sheetId="39" r:id="rId23"/>
    <sheet name="5c2" sheetId="40" r:id="rId24"/>
    <sheet name="Ref 5d1d2e2" sheetId="41" r:id="rId25"/>
    <sheet name="5d1" sheetId="42" r:id="rId26"/>
    <sheet name="5d2" sheetId="43" r:id="rId27"/>
    <sheet name="Ref 5e1" sheetId="44" r:id="rId28"/>
    <sheet name="5e1" sheetId="45" r:id="rId29"/>
    <sheet name="5e2" sheetId="46" r:id="rId30"/>
    <sheet name="5f" sheetId="47" r:id="rId31"/>
    <sheet name="5g" sheetId="48" r:id="rId32"/>
    <sheet name="5h" sheetId="50" r:id="rId33"/>
  </sheets>
  <definedNames>
    <definedName name="diploma" localSheetId="3">#REF!</definedName>
    <definedName name="diploma" localSheetId="4">#REF!</definedName>
    <definedName name="diploma" localSheetId="15">#REF!</definedName>
    <definedName name="diploma" localSheetId="21">#REF!</definedName>
    <definedName name="diploma" localSheetId="22">#REF!</definedName>
    <definedName name="diploma">#REF!</definedName>
  </definedNames>
  <calcPr calcId="152511"/>
</workbook>
</file>

<file path=xl/calcChain.xml><?xml version="1.0" encoding="utf-8"?>
<calcChain xmlns="http://schemas.openxmlformats.org/spreadsheetml/2006/main">
  <c r="F18" i="57" l="1"/>
  <c r="E18" i="57"/>
  <c r="D18" i="57"/>
  <c r="F18" i="56"/>
  <c r="E18" i="56"/>
  <c r="D18" i="56"/>
  <c r="F3" i="54"/>
  <c r="F10" i="53"/>
  <c r="F9" i="53"/>
  <c r="F8" i="53"/>
  <c r="R46" i="14" l="1"/>
  <c r="E3" i="31" l="1"/>
  <c r="E9" i="20" l="1"/>
  <c r="E8" i="20"/>
  <c r="E7" i="20"/>
  <c r="C36" i="50" l="1"/>
  <c r="C24" i="50"/>
  <c r="C19" i="50"/>
  <c r="C11" i="50"/>
  <c r="C11" i="48"/>
  <c r="F12" i="47" l="1"/>
  <c r="F11" i="47"/>
  <c r="F8" i="47"/>
  <c r="C13" i="33" l="1"/>
  <c r="D13" i="33"/>
  <c r="E13" i="33"/>
  <c r="G54" i="21"/>
  <c r="G47" i="21"/>
  <c r="G40" i="21"/>
  <c r="G33" i="21"/>
  <c r="G26" i="21"/>
  <c r="G19" i="21"/>
  <c r="G12" i="21"/>
  <c r="G55" i="21"/>
  <c r="H55" i="21"/>
  <c r="G56" i="21" l="1"/>
  <c r="F13" i="33"/>
  <c r="D11" i="26" l="1"/>
  <c r="C11" i="26"/>
  <c r="F8" i="23" l="1"/>
  <c r="F7" i="23"/>
  <c r="E11" i="22" l="1"/>
  <c r="D11" i="22"/>
  <c r="C11" i="22"/>
  <c r="F26" i="21"/>
  <c r="E26" i="21"/>
  <c r="D26" i="21"/>
  <c r="C26" i="21"/>
  <c r="F33" i="21" l="1"/>
  <c r="E33" i="21"/>
  <c r="D33" i="21"/>
  <c r="C33" i="21"/>
  <c r="F40" i="21"/>
  <c r="E40" i="21"/>
  <c r="D40" i="21"/>
  <c r="C40" i="21"/>
  <c r="F47" i="21"/>
  <c r="E47" i="21"/>
  <c r="D47" i="21"/>
  <c r="C47" i="21"/>
  <c r="E15" i="47" l="1"/>
  <c r="D15" i="47"/>
  <c r="C15" i="47"/>
  <c r="F14" i="47"/>
  <c r="F13" i="47"/>
  <c r="F10" i="47"/>
  <c r="F9" i="47"/>
  <c r="F7" i="47"/>
  <c r="F6" i="47"/>
  <c r="E14" i="39"/>
  <c r="D14" i="39"/>
  <c r="C14" i="39"/>
  <c r="F14" i="34"/>
  <c r="E14" i="34"/>
  <c r="D14" i="34"/>
  <c r="C14" i="34"/>
  <c r="E16" i="33"/>
  <c r="D16" i="33"/>
  <c r="C16" i="33"/>
  <c r="F7" i="33"/>
  <c r="F8" i="33"/>
  <c r="F9" i="33"/>
  <c r="F10" i="33"/>
  <c r="F11" i="33"/>
  <c r="F12" i="33"/>
  <c r="F14" i="33"/>
  <c r="F15" i="33"/>
  <c r="F28" i="32"/>
  <c r="E28" i="32"/>
  <c r="D28" i="32"/>
  <c r="F24" i="32"/>
  <c r="E24" i="32"/>
  <c r="D24" i="32"/>
  <c r="F20" i="32"/>
  <c r="E20" i="32"/>
  <c r="D20" i="32"/>
  <c r="F15" i="32"/>
  <c r="E15" i="32"/>
  <c r="D15" i="32"/>
  <c r="G27" i="32"/>
  <c r="G26" i="32"/>
  <c r="G23" i="32"/>
  <c r="G22" i="32"/>
  <c r="G21" i="32"/>
  <c r="G19" i="32"/>
  <c r="G18" i="32"/>
  <c r="G17" i="32"/>
  <c r="G16" i="32"/>
  <c r="G14" i="32"/>
  <c r="G13" i="32"/>
  <c r="G12" i="32"/>
  <c r="G11" i="32"/>
  <c r="G10" i="32"/>
  <c r="F9" i="32"/>
  <c r="E9" i="32"/>
  <c r="D9" i="32"/>
  <c r="G8" i="32"/>
  <c r="G7" i="32"/>
  <c r="G6" i="32"/>
  <c r="E9" i="30"/>
  <c r="D9" i="30"/>
  <c r="C9" i="30"/>
  <c r="F8" i="30"/>
  <c r="F7" i="30"/>
  <c r="F6" i="30"/>
  <c r="E9" i="29"/>
  <c r="D9" i="29"/>
  <c r="C9" i="29"/>
  <c r="F8" i="29"/>
  <c r="F7" i="29"/>
  <c r="F6" i="29"/>
  <c r="E11" i="28"/>
  <c r="D11" i="28"/>
  <c r="C11" i="28"/>
  <c r="H8" i="27"/>
  <c r="H7" i="27"/>
  <c r="H6" i="27"/>
  <c r="G9" i="27"/>
  <c r="F9" i="27"/>
  <c r="E9" i="27"/>
  <c r="D9" i="27"/>
  <c r="C9" i="27"/>
  <c r="H8" i="25"/>
  <c r="H7" i="25"/>
  <c r="H6" i="25"/>
  <c r="G9" i="25"/>
  <c r="F9" i="25"/>
  <c r="E9" i="25"/>
  <c r="D9" i="25"/>
  <c r="C9" i="25"/>
  <c r="E12" i="23"/>
  <c r="D12" i="23"/>
  <c r="C12" i="23"/>
  <c r="F10" i="23"/>
  <c r="F9" i="23"/>
  <c r="F6" i="23"/>
  <c r="F54" i="21"/>
  <c r="E54" i="21"/>
  <c r="D54" i="21"/>
  <c r="C54" i="21"/>
  <c r="F19" i="21"/>
  <c r="E19" i="21"/>
  <c r="D19" i="21"/>
  <c r="C19" i="21"/>
  <c r="F12" i="21"/>
  <c r="F55" i="21" s="1"/>
  <c r="E12" i="21"/>
  <c r="E55" i="21" s="1"/>
  <c r="D12" i="21"/>
  <c r="D55" i="21" s="1"/>
  <c r="C12" i="21"/>
  <c r="C55" i="21" s="1"/>
  <c r="N15" i="19"/>
  <c r="M15" i="19"/>
  <c r="L15" i="19"/>
  <c r="K15" i="19"/>
  <c r="J15" i="19"/>
  <c r="I15" i="19"/>
  <c r="H15" i="19"/>
  <c r="G15" i="19"/>
  <c r="F15" i="19"/>
  <c r="E15" i="19"/>
  <c r="D15" i="19"/>
  <c r="C15" i="19"/>
  <c r="O14" i="19"/>
  <c r="O13" i="19"/>
  <c r="O12" i="19"/>
  <c r="O11" i="19"/>
  <c r="O10" i="19"/>
  <c r="O9" i="19"/>
  <c r="O8" i="19"/>
  <c r="O7" i="19"/>
  <c r="F25" i="32" l="1"/>
  <c r="F29" i="32" s="1"/>
  <c r="D25" i="32"/>
  <c r="D29" i="32" s="1"/>
  <c r="E25" i="32"/>
  <c r="E29" i="32" s="1"/>
  <c r="F9" i="30"/>
  <c r="H9" i="25"/>
  <c r="F12" i="23"/>
  <c r="G24" i="32"/>
  <c r="O15" i="19"/>
  <c r="H9" i="27"/>
  <c r="G15" i="32"/>
  <c r="F15" i="47"/>
  <c r="F16" i="33"/>
  <c r="G9" i="32"/>
  <c r="G28" i="32"/>
  <c r="G20" i="32"/>
  <c r="F9" i="29"/>
  <c r="G25" i="32" l="1"/>
  <c r="G29" i="32"/>
  <c r="F6" i="33" l="1"/>
</calcChain>
</file>

<file path=xl/comments1.xml><?xml version="1.0" encoding="utf-8"?>
<comments xmlns="http://schemas.openxmlformats.org/spreadsheetml/2006/main">
  <authors>
    <author>Suharyadi</author>
  </authors>
  <commentList>
    <comment ref="G11" authorId="0" shapeId="0">
      <text>
        <r>
          <rPr>
            <b/>
            <sz val="9"/>
            <color indexed="81"/>
            <rFont val="Tahoma"/>
            <family val="2"/>
          </rPr>
          <t>NMR1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11" authorId="0" shapeId="0">
      <text>
        <r>
          <rPr>
            <b/>
            <sz val="9"/>
            <color indexed="81"/>
            <rFont val="Tahoma"/>
            <family val="2"/>
          </rPr>
          <t>NMT1</t>
        </r>
      </text>
    </comment>
    <comment ref="C12" authorId="0" shapeId="0">
      <text>
        <r>
          <rPr>
            <b/>
            <sz val="9"/>
            <color indexed="81"/>
            <rFont val="Tahoma"/>
            <family val="2"/>
          </rPr>
          <t>NA1</t>
        </r>
      </text>
    </comment>
    <comment ref="D12" authorId="0" shapeId="0">
      <text>
        <r>
          <rPr>
            <b/>
            <sz val="9"/>
            <color indexed="81"/>
            <rFont val="Tahoma"/>
            <family val="2"/>
          </rPr>
          <t>NB1</t>
        </r>
      </text>
    </comment>
    <comment ref="E12" authorId="0" shapeId="0">
      <text>
        <r>
          <rPr>
            <b/>
            <sz val="9"/>
            <color indexed="81"/>
            <rFont val="Tahoma"/>
            <family val="2"/>
          </rPr>
          <t>NC1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ND1</t>
        </r>
      </text>
    </comment>
    <comment ref="G12" authorId="0" shapeId="0">
      <text>
        <r>
          <rPr>
            <b/>
            <sz val="9"/>
            <color indexed="81"/>
            <rFont val="Tahoma"/>
            <family val="2"/>
          </rPr>
          <t>NM1 saat TS</t>
        </r>
      </text>
    </comment>
    <comment ref="G18" authorId="0" shapeId="0">
      <text>
        <r>
          <rPr>
            <b/>
            <sz val="9"/>
            <color indexed="81"/>
            <rFont val="Tahoma"/>
            <family val="2"/>
          </rPr>
          <t>NMR2</t>
        </r>
      </text>
    </comment>
    <comment ref="H18" authorId="0" shapeId="0">
      <text>
        <r>
          <rPr>
            <b/>
            <sz val="9"/>
            <color indexed="81"/>
            <rFont val="Tahoma"/>
            <family val="2"/>
          </rPr>
          <t>NMT2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NA2</t>
        </r>
      </text>
    </comment>
    <comment ref="D19" authorId="0" shapeId="0">
      <text>
        <r>
          <rPr>
            <b/>
            <sz val="9"/>
            <color indexed="81"/>
            <rFont val="Tahoma"/>
            <family val="2"/>
          </rPr>
          <t>NB2</t>
        </r>
      </text>
    </comment>
    <comment ref="E19" authorId="0" shapeId="0">
      <text>
        <r>
          <rPr>
            <b/>
            <sz val="9"/>
            <color indexed="81"/>
            <rFont val="Tahoma"/>
            <family val="2"/>
          </rPr>
          <t>NC2</t>
        </r>
      </text>
    </comment>
    <comment ref="F19" authorId="0" shapeId="0">
      <text>
        <r>
          <rPr>
            <b/>
            <sz val="9"/>
            <color indexed="81"/>
            <rFont val="Tahoma"/>
            <family val="2"/>
          </rPr>
          <t>ND2</t>
        </r>
      </text>
    </comment>
    <comment ref="G19" authorId="0" shapeId="0">
      <text>
        <r>
          <rPr>
            <b/>
            <sz val="9"/>
            <color indexed="81"/>
            <rFont val="Tahoma"/>
            <family val="2"/>
          </rPr>
          <t>NM2 saat TS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</rPr>
          <t>NMR3</t>
        </r>
      </text>
    </comment>
    <comment ref="H25" authorId="0" shapeId="0">
      <text>
        <r>
          <rPr>
            <b/>
            <sz val="9"/>
            <color indexed="81"/>
            <rFont val="Tahoma"/>
            <family val="2"/>
          </rPr>
          <t>NMT3</t>
        </r>
      </text>
    </comment>
    <comment ref="C26" authorId="0" shapeId="0">
      <text>
        <r>
          <rPr>
            <b/>
            <sz val="9"/>
            <color indexed="81"/>
            <rFont val="Tahoma"/>
            <family val="2"/>
          </rPr>
          <t>NA3</t>
        </r>
      </text>
    </comment>
    <comment ref="D26" authorId="0" shapeId="0">
      <text>
        <r>
          <rPr>
            <b/>
            <sz val="9"/>
            <color indexed="81"/>
            <rFont val="Tahoma"/>
            <family val="2"/>
          </rPr>
          <t>NB3</t>
        </r>
      </text>
    </comment>
    <comment ref="E26" authorId="0" shapeId="0">
      <text>
        <r>
          <rPr>
            <b/>
            <sz val="9"/>
            <color indexed="81"/>
            <rFont val="Tahoma"/>
            <family val="2"/>
          </rPr>
          <t>NC3</t>
        </r>
      </text>
    </comment>
    <comment ref="F26" authorId="0" shapeId="0">
      <text>
        <r>
          <rPr>
            <b/>
            <sz val="9"/>
            <color indexed="81"/>
            <rFont val="Tahoma"/>
            <family val="2"/>
          </rPr>
          <t>ND3</t>
        </r>
      </text>
    </comment>
    <comment ref="G26" authorId="0" shapeId="0">
      <text>
        <r>
          <rPr>
            <b/>
            <sz val="9"/>
            <color indexed="81"/>
            <rFont val="Tahoma"/>
            <family val="2"/>
          </rPr>
          <t>NM3 saat TS</t>
        </r>
      </text>
    </comment>
    <comment ref="G32" authorId="0" shapeId="0">
      <text>
        <r>
          <rPr>
            <b/>
            <sz val="9"/>
            <color indexed="81"/>
            <rFont val="Tahoma"/>
            <family val="2"/>
          </rPr>
          <t>NMR4</t>
        </r>
      </text>
    </comment>
    <comment ref="H32" authorId="0" shapeId="0">
      <text>
        <r>
          <rPr>
            <b/>
            <sz val="9"/>
            <color indexed="81"/>
            <rFont val="Tahoma"/>
            <family val="2"/>
          </rPr>
          <t>NMT4</t>
        </r>
      </text>
    </comment>
    <comment ref="C33" authorId="0" shapeId="0">
      <text>
        <r>
          <rPr>
            <b/>
            <sz val="9"/>
            <color indexed="81"/>
            <rFont val="Tahoma"/>
            <family val="2"/>
          </rPr>
          <t>NA4</t>
        </r>
      </text>
    </comment>
    <comment ref="D33" authorId="0" shapeId="0">
      <text>
        <r>
          <rPr>
            <b/>
            <sz val="9"/>
            <color indexed="81"/>
            <rFont val="Tahoma"/>
            <family val="2"/>
          </rPr>
          <t>NB4</t>
        </r>
      </text>
    </comment>
    <comment ref="E33" authorId="0" shapeId="0">
      <text>
        <r>
          <rPr>
            <b/>
            <sz val="9"/>
            <color indexed="81"/>
            <rFont val="Tahoma"/>
            <family val="2"/>
          </rPr>
          <t>NC4</t>
        </r>
      </text>
    </comment>
    <comment ref="F33" authorId="0" shapeId="0">
      <text>
        <r>
          <rPr>
            <b/>
            <sz val="9"/>
            <color indexed="81"/>
            <rFont val="Tahoma"/>
            <family val="2"/>
          </rPr>
          <t>ND4</t>
        </r>
      </text>
    </comment>
    <comment ref="G33" authorId="0" shapeId="0">
      <text>
        <r>
          <rPr>
            <b/>
            <sz val="9"/>
            <color indexed="81"/>
            <rFont val="Tahoma"/>
            <family val="2"/>
          </rPr>
          <t>NM4 saat TS</t>
        </r>
      </text>
    </comment>
    <comment ref="G39" authorId="0" shapeId="0">
      <text>
        <r>
          <rPr>
            <b/>
            <sz val="9"/>
            <color indexed="81"/>
            <rFont val="Tahoma"/>
            <family val="2"/>
          </rPr>
          <t>NMR5</t>
        </r>
      </text>
    </comment>
    <comment ref="H39" authorId="0" shapeId="0">
      <text>
        <r>
          <rPr>
            <b/>
            <sz val="9"/>
            <color indexed="81"/>
            <rFont val="Tahoma"/>
            <family val="2"/>
          </rPr>
          <t>NMT5</t>
        </r>
      </text>
    </comment>
    <comment ref="C40" authorId="0" shapeId="0">
      <text>
        <r>
          <rPr>
            <b/>
            <sz val="9"/>
            <color indexed="81"/>
            <rFont val="Tahoma"/>
            <family val="2"/>
          </rPr>
          <t>NA5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>NB5</t>
        </r>
      </text>
    </comment>
    <comment ref="E40" authorId="0" shapeId="0">
      <text>
        <r>
          <rPr>
            <b/>
            <sz val="9"/>
            <color indexed="81"/>
            <rFont val="Tahoma"/>
            <family val="2"/>
          </rPr>
          <t>NC5</t>
        </r>
      </text>
    </comment>
    <comment ref="F40" authorId="0" shapeId="0">
      <text>
        <r>
          <rPr>
            <b/>
            <sz val="9"/>
            <color indexed="81"/>
            <rFont val="Tahoma"/>
            <family val="2"/>
          </rPr>
          <t>ND5</t>
        </r>
      </text>
    </comment>
    <comment ref="G40" authorId="0" shapeId="0">
      <text>
        <r>
          <rPr>
            <b/>
            <sz val="9"/>
            <color indexed="81"/>
            <rFont val="Tahoma"/>
            <family val="2"/>
          </rPr>
          <t>NM5 saat TS</t>
        </r>
      </text>
    </comment>
    <comment ref="G46" authorId="0" shapeId="0">
      <text>
        <r>
          <rPr>
            <b/>
            <sz val="9"/>
            <color indexed="81"/>
            <rFont val="Tahoma"/>
            <family val="2"/>
          </rPr>
          <t>NMR6</t>
        </r>
      </text>
    </comment>
    <comment ref="H46" authorId="0" shapeId="0">
      <text>
        <r>
          <rPr>
            <b/>
            <sz val="9"/>
            <color indexed="81"/>
            <rFont val="Tahoma"/>
            <family val="2"/>
          </rPr>
          <t>NMT6</t>
        </r>
      </text>
    </comment>
    <comment ref="C47" authorId="0" shapeId="0">
      <text>
        <r>
          <rPr>
            <b/>
            <sz val="9"/>
            <color indexed="81"/>
            <rFont val="Tahoma"/>
            <family val="2"/>
          </rPr>
          <t>NA6</t>
        </r>
      </text>
    </comment>
    <comment ref="D47" authorId="0" shapeId="0">
      <text>
        <r>
          <rPr>
            <b/>
            <sz val="9"/>
            <color indexed="81"/>
            <rFont val="Tahoma"/>
            <family val="2"/>
          </rPr>
          <t>NB6</t>
        </r>
      </text>
    </comment>
    <comment ref="E47" authorId="0" shapeId="0">
      <text>
        <r>
          <rPr>
            <b/>
            <sz val="9"/>
            <color indexed="81"/>
            <rFont val="Tahoma"/>
            <family val="2"/>
          </rPr>
          <t>NC6</t>
        </r>
      </text>
    </comment>
    <comment ref="F47" authorId="0" shapeId="0">
      <text>
        <r>
          <rPr>
            <b/>
            <sz val="9"/>
            <color indexed="81"/>
            <rFont val="Tahoma"/>
            <family val="2"/>
          </rPr>
          <t>ND6</t>
        </r>
      </text>
    </comment>
    <comment ref="G47" authorId="0" shapeId="0">
      <text>
        <r>
          <rPr>
            <b/>
            <sz val="9"/>
            <color indexed="81"/>
            <rFont val="Tahoma"/>
            <family val="2"/>
          </rPr>
          <t>NM6 saat TS</t>
        </r>
      </text>
    </comment>
    <comment ref="G53" authorId="0" shapeId="0">
      <text>
        <r>
          <rPr>
            <b/>
            <sz val="9"/>
            <color indexed="81"/>
            <rFont val="Tahoma"/>
            <family val="2"/>
          </rPr>
          <t>NMR7</t>
        </r>
      </text>
    </comment>
    <comment ref="H53" authorId="0" shapeId="0">
      <text>
        <r>
          <rPr>
            <b/>
            <sz val="9"/>
            <color indexed="81"/>
            <rFont val="Tahoma"/>
            <family val="2"/>
          </rPr>
          <t>NMT7</t>
        </r>
      </text>
    </comment>
    <comment ref="C54" authorId="0" shapeId="0">
      <text>
        <r>
          <rPr>
            <b/>
            <sz val="9"/>
            <color indexed="81"/>
            <rFont val="Tahoma"/>
            <family val="2"/>
          </rPr>
          <t>NA7</t>
        </r>
      </text>
    </comment>
    <comment ref="D54" authorId="0" shapeId="0">
      <text>
        <r>
          <rPr>
            <b/>
            <sz val="9"/>
            <color indexed="81"/>
            <rFont val="Tahoma"/>
            <family val="2"/>
          </rPr>
          <t>NB7</t>
        </r>
      </text>
    </comment>
    <comment ref="E54" authorId="0" shapeId="0">
      <text>
        <r>
          <rPr>
            <b/>
            <sz val="9"/>
            <color indexed="81"/>
            <rFont val="Tahoma"/>
            <family val="2"/>
          </rPr>
          <t>NC7</t>
        </r>
      </text>
    </comment>
    <comment ref="F54" authorId="0" shapeId="0">
      <text>
        <r>
          <rPr>
            <b/>
            <sz val="9"/>
            <color indexed="81"/>
            <rFont val="Tahoma"/>
            <family val="2"/>
          </rPr>
          <t>ND7</t>
        </r>
      </text>
    </comment>
    <comment ref="G54" authorId="0" shapeId="0">
      <text>
        <r>
          <rPr>
            <b/>
            <sz val="9"/>
            <color indexed="81"/>
            <rFont val="Tahoma"/>
            <family val="2"/>
          </rPr>
          <t>NM7 saat TS</t>
        </r>
      </text>
    </comment>
    <comment ref="C55" authorId="0" shapeId="0">
      <text>
        <r>
          <rPr>
            <b/>
            <sz val="9"/>
            <color indexed="81"/>
            <rFont val="Tahoma"/>
            <family val="2"/>
          </rPr>
          <t>NA</t>
        </r>
      </text>
    </comment>
    <comment ref="D55" authorId="0" shapeId="0">
      <text>
        <r>
          <rPr>
            <b/>
            <sz val="9"/>
            <color indexed="81"/>
            <rFont val="Tahoma"/>
            <family val="2"/>
          </rPr>
          <t>NA</t>
        </r>
      </text>
    </comment>
    <comment ref="E55" authorId="0" shapeId="0">
      <text>
        <r>
          <rPr>
            <b/>
            <sz val="9"/>
            <color indexed="81"/>
            <rFont val="Tahoma"/>
            <family val="2"/>
          </rPr>
          <t>NA</t>
        </r>
      </text>
    </comment>
    <comment ref="F55" authorId="0" shapeId="0">
      <text>
        <r>
          <rPr>
            <b/>
            <sz val="9"/>
            <color indexed="81"/>
            <rFont val="Tahoma"/>
            <family val="2"/>
          </rPr>
          <t>NA</t>
        </r>
      </text>
    </comment>
    <comment ref="G55" authorId="0" shapeId="0">
      <text>
        <r>
          <rPr>
            <b/>
            <sz val="9"/>
            <color indexed="81"/>
            <rFont val="Tahoma"/>
            <family val="2"/>
          </rPr>
          <t>NMR saat TS</t>
        </r>
      </text>
    </comment>
    <comment ref="H55" authorId="0" shapeId="0">
      <text>
        <r>
          <rPr>
            <b/>
            <sz val="9"/>
            <color indexed="81"/>
            <rFont val="Tahoma"/>
            <family val="2"/>
          </rPr>
          <t>NMR saat TS</t>
        </r>
      </text>
    </comment>
    <comment ref="G56" authorId="0" shapeId="0">
      <text>
        <r>
          <rPr>
            <b/>
            <sz val="9"/>
            <color indexed="81"/>
            <rFont val="Tahoma"/>
            <family val="2"/>
          </rPr>
          <t>NM saat TS</t>
        </r>
      </text>
    </comment>
  </commentList>
</comments>
</file>

<file path=xl/comments2.xml><?xml version="1.0" encoding="utf-8"?>
<comments xmlns="http://schemas.openxmlformats.org/spreadsheetml/2006/main">
  <authors>
    <author>Suharyadi</author>
  </authors>
  <commentList>
    <comment ref="F12" authorId="0" shapeId="0">
      <text>
        <r>
          <rPr>
            <b/>
            <sz val="9"/>
            <color indexed="81"/>
            <rFont val="Tahoma"/>
            <family val="2"/>
          </rPr>
          <t>NDT</t>
        </r>
      </text>
    </comment>
  </commentList>
</comments>
</file>

<file path=xl/comments3.xml><?xml version="1.0" encoding="utf-8"?>
<comments xmlns="http://schemas.openxmlformats.org/spreadsheetml/2006/main">
  <authors>
    <author>Suharyadi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NDTGB</t>
        </r>
      </text>
    </comment>
    <comment ref="D9" authorId="0" shapeId="0">
      <text>
        <r>
          <rPr>
            <b/>
            <sz val="9"/>
            <color indexed="81"/>
            <rFont val="Tahoma"/>
            <family val="2"/>
          </rPr>
          <t>NDTGB</t>
        </r>
      </text>
    </comment>
  </commentList>
</comments>
</file>

<file path=xl/comments4.xml><?xml version="1.0" encoding="utf-8"?>
<comments xmlns="http://schemas.openxmlformats.org/spreadsheetml/2006/main">
  <authors>
    <author>Suharyadi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NDT</t>
        </r>
      </text>
    </comment>
    <comment ref="D11" authorId="0" shapeId="0">
      <text>
        <r>
          <rPr>
            <b/>
            <sz val="9"/>
            <color indexed="81"/>
            <rFont val="Tahoma"/>
            <family val="2"/>
          </rPr>
          <t>NDT</t>
        </r>
      </text>
    </comment>
  </commentList>
</comments>
</file>

<file path=xl/comments5.xml><?xml version="1.0" encoding="utf-8"?>
<comments xmlns="http://schemas.openxmlformats.org/spreadsheetml/2006/main">
  <authors>
    <author>Suharyadi</author>
  </authors>
  <commentList>
    <comment ref="H9" authorId="0" shapeId="0">
      <text>
        <r>
          <rPr>
            <b/>
            <sz val="9"/>
            <color indexed="81"/>
            <rFont val="Tahoma"/>
            <family val="2"/>
          </rPr>
          <t>NDTT</t>
        </r>
      </text>
    </comment>
  </commentList>
</comments>
</file>

<file path=xl/comments6.xml><?xml version="1.0" encoding="utf-8"?>
<comments xmlns="http://schemas.openxmlformats.org/spreadsheetml/2006/main">
  <authors>
    <author>Suharyadi</author>
  </authors>
  <commentList>
    <comment ref="D11" authorId="0" shapeId="0">
      <text>
        <r>
          <rPr>
            <b/>
            <sz val="9"/>
            <color indexed="81"/>
            <rFont val="Tahoma"/>
            <family val="2"/>
          </rPr>
          <t>NMA</t>
        </r>
      </text>
    </comment>
    <comment ref="E11" authorId="0" shapeId="0">
      <text>
        <r>
          <rPr>
            <b/>
            <sz val="9"/>
            <color indexed="81"/>
            <rFont val="Tahoma"/>
            <family val="2"/>
          </rPr>
          <t>NMTA</t>
        </r>
      </text>
    </comment>
  </commentList>
</comments>
</file>

<file path=xl/comments7.xml><?xml version="1.0" encoding="utf-8"?>
<comments xmlns="http://schemas.openxmlformats.org/spreadsheetml/2006/main">
  <authors>
    <author>Suharyadi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NL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NN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NI</t>
        </r>
      </text>
    </comment>
  </commentList>
</comments>
</file>

<file path=xl/comments8.xml><?xml version="1.0" encoding="utf-8"?>
<comments xmlns="http://schemas.openxmlformats.org/spreadsheetml/2006/main">
  <authors>
    <author>Suharyadi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NL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NN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NI</t>
        </r>
      </text>
    </comment>
  </commentList>
</comments>
</file>

<file path=xl/comments9.xml><?xml version="1.0" encoding="utf-8"?>
<comments xmlns="http://schemas.openxmlformats.org/spreadsheetml/2006/main">
  <authors>
    <author>Suharyadi</author>
  </authors>
  <commentList>
    <comment ref="G9" authorId="0" shapeId="0">
      <text>
        <r>
          <rPr>
            <b/>
            <sz val="9"/>
            <color indexed="81"/>
            <rFont val="Tahoma"/>
            <family val="2"/>
          </rPr>
          <t>DM</t>
        </r>
      </text>
    </comment>
    <comment ref="G25" authorId="0" shapeId="0">
      <text>
        <r>
          <rPr>
            <b/>
            <sz val="9"/>
            <color indexed="81"/>
            <rFont val="Tahoma"/>
            <family val="2"/>
          </rPr>
          <t>DR</t>
        </r>
      </text>
    </comment>
    <comment ref="G28" authorId="0" shapeId="0">
      <text>
        <r>
          <rPr>
            <b/>
            <sz val="9"/>
            <color indexed="81"/>
            <rFont val="Tahoma"/>
            <family val="2"/>
          </rPr>
          <t>DNR</t>
        </r>
      </text>
    </comment>
    <comment ref="G29" authorId="0" shapeId="0">
      <text>
        <r>
          <rPr>
            <b/>
            <sz val="9"/>
            <color indexed="81"/>
            <rFont val="Tahoma"/>
            <family val="2"/>
          </rPr>
          <t>DT</t>
        </r>
      </text>
    </comment>
  </commentList>
</comments>
</file>

<file path=xl/comments10.xml><?xml version="1.0" encoding="utf-8"?>
<comments xmlns="http://schemas.openxmlformats.org/spreadsheetml/2006/main">
  <authors>
    <author>Suharyadi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DOP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DP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DPkM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DI1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DI2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DI3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DTR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DPNR</t>
        </r>
      </text>
    </comment>
    <comment ref="F15" authorId="0" shapeId="0">
      <text>
        <r>
          <rPr>
            <b/>
            <sz val="9"/>
            <color indexed="81"/>
            <rFont val="Tahoma"/>
            <family val="2"/>
          </rPr>
          <t>Suharyadi:</t>
        </r>
        <r>
          <rPr>
            <sz val="9"/>
            <color indexed="81"/>
            <rFont val="Tahoma"/>
            <family val="2"/>
          </rPr>
          <t xml:space="preserve">
DPkMNR</t>
        </r>
      </text>
    </comment>
    <comment ref="F16" authorId="0" shapeId="0">
      <text>
        <r>
          <rPr>
            <b/>
            <sz val="9"/>
            <color indexed="81"/>
            <rFont val="Tahoma"/>
            <family val="2"/>
          </rPr>
          <t>DTNR</t>
        </r>
      </text>
    </comment>
  </commentList>
</comments>
</file>

<file path=xl/comments11.xml><?xml version="1.0" encoding="utf-8"?>
<comments xmlns="http://schemas.openxmlformats.org/spreadsheetml/2006/main">
  <authors>
    <author>Suharyadi</author>
  </authors>
  <commentList>
    <comment ref="D18" authorId="0" shapeId="0">
      <text>
        <r>
          <rPr>
            <b/>
            <sz val="9"/>
            <color indexed="81"/>
            <rFont val="Tahoma"/>
            <family val="2"/>
          </rPr>
          <t>NA1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NB1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NC1</t>
        </r>
      </text>
    </comment>
  </commentList>
</comments>
</file>

<file path=xl/comments12.xml><?xml version="1.0" encoding="utf-8"?>
<comments xmlns="http://schemas.openxmlformats.org/spreadsheetml/2006/main">
  <authors>
    <author>Suharyadi</author>
  </authors>
  <commentList>
    <comment ref="D18" authorId="0" shapeId="0">
      <text>
        <r>
          <rPr>
            <b/>
            <sz val="9"/>
            <color indexed="81"/>
            <rFont val="Tahoma"/>
            <family val="2"/>
          </rPr>
          <t>NA1</t>
        </r>
      </text>
    </comment>
    <comment ref="E18" authorId="0" shapeId="0">
      <text>
        <r>
          <rPr>
            <b/>
            <sz val="9"/>
            <color indexed="81"/>
            <rFont val="Tahoma"/>
            <family val="2"/>
          </rPr>
          <t>NB1</t>
        </r>
      </text>
    </comment>
    <comment ref="F18" authorId="0" shapeId="0">
      <text>
        <r>
          <rPr>
            <b/>
            <sz val="9"/>
            <color indexed="81"/>
            <rFont val="Tahoma"/>
            <family val="2"/>
          </rPr>
          <t>NC1</t>
        </r>
      </text>
    </comment>
  </commentList>
</comments>
</file>

<file path=xl/comments13.xml><?xml version="1.0" encoding="utf-8"?>
<comments xmlns="http://schemas.openxmlformats.org/spreadsheetml/2006/main">
  <authors>
    <author>Suharyadi</author>
  </authors>
  <commentList>
    <comment ref="B8" authorId="0" shapeId="0">
      <text>
        <r>
          <rPr>
            <b/>
            <sz val="9"/>
            <color indexed="81"/>
            <rFont val="Tahoma"/>
            <family val="2"/>
          </rPr>
          <t>a1</t>
        </r>
      </text>
    </comment>
    <comment ref="H8" authorId="0" shapeId="0">
      <text>
        <r>
          <rPr>
            <b/>
            <sz val="9"/>
            <color indexed="81"/>
            <rFont val="Tahoma"/>
            <family val="2"/>
          </rPr>
          <t>b1</t>
        </r>
      </text>
    </comment>
    <comment ref="I8" authorId="0" shapeId="0">
      <text>
        <r>
          <rPr>
            <b/>
            <sz val="9"/>
            <color indexed="81"/>
            <rFont val="Tahoma"/>
            <family val="2"/>
          </rPr>
          <t>c1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d1</t>
        </r>
      </text>
    </comment>
    <comment ref="H12" authorId="0" shapeId="0">
      <text>
        <r>
          <rPr>
            <b/>
            <sz val="9"/>
            <color indexed="81"/>
            <rFont val="Tahoma"/>
            <family val="2"/>
          </rPr>
          <t>e1</t>
        </r>
      </text>
    </comment>
    <comment ref="I12" authorId="0" shapeId="0">
      <text>
        <r>
          <rPr>
            <b/>
            <sz val="9"/>
            <color indexed="81"/>
            <rFont val="Tahoma"/>
            <family val="2"/>
          </rPr>
          <t>f1</t>
        </r>
      </text>
    </comment>
    <comment ref="B21" authorId="0" shapeId="0">
      <text>
        <r>
          <rPr>
            <b/>
            <sz val="9"/>
            <color indexed="81"/>
            <rFont val="Tahoma"/>
            <family val="2"/>
          </rPr>
          <t>a2</t>
        </r>
      </text>
    </comment>
    <comment ref="E21" authorId="0" shapeId="0">
      <text>
        <r>
          <rPr>
            <b/>
            <sz val="9"/>
            <color indexed="81"/>
            <rFont val="Tahoma"/>
            <family val="2"/>
          </rPr>
          <t>b2</t>
        </r>
      </text>
    </comment>
    <comment ref="F21" authorId="0" shapeId="0">
      <text>
        <r>
          <rPr>
            <b/>
            <sz val="9"/>
            <color indexed="81"/>
            <rFont val="Tahoma"/>
            <family val="2"/>
          </rPr>
          <t>c2</t>
        </r>
      </text>
    </comment>
    <comment ref="D23" authorId="0" shapeId="0">
      <text>
        <r>
          <rPr>
            <b/>
            <sz val="9"/>
            <color indexed="81"/>
            <rFont val="Tahoma"/>
            <family val="2"/>
          </rPr>
          <t>d2</t>
        </r>
      </text>
    </comment>
    <comment ref="E23" authorId="0" shapeId="0">
      <text>
        <r>
          <rPr>
            <b/>
            <sz val="9"/>
            <color indexed="81"/>
            <rFont val="Tahoma"/>
            <family val="2"/>
          </rPr>
          <t>e2</t>
        </r>
      </text>
    </comment>
    <comment ref="F23" authorId="0" shapeId="0">
      <text>
        <r>
          <rPr>
            <b/>
            <sz val="9"/>
            <color indexed="81"/>
            <rFont val="Tahoma"/>
            <family val="2"/>
          </rPr>
          <t>f2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D31" authorId="0" shapeId="0">
      <text>
        <r>
          <rPr>
            <b/>
            <sz val="9"/>
            <color indexed="81"/>
            <rFont val="Tahoma"/>
            <family val="2"/>
          </rPr>
          <t>b3</t>
        </r>
      </text>
    </comment>
    <comment ref="E31" authorId="0" shapeId="0">
      <text>
        <r>
          <rPr>
            <b/>
            <sz val="9"/>
            <color indexed="81"/>
            <rFont val="Tahoma"/>
            <family val="2"/>
          </rPr>
          <t>c3</t>
        </r>
      </text>
    </comment>
    <comment ref="C32" authorId="0" shapeId="0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D32" authorId="0" shapeId="0">
      <text>
        <r>
          <rPr>
            <b/>
            <sz val="9"/>
            <color indexed="81"/>
            <rFont val="Tahoma"/>
            <family val="2"/>
          </rPr>
          <t>e3</t>
        </r>
      </text>
    </comment>
    <comment ref="E32" authorId="0" shapeId="0">
      <text>
        <r>
          <rPr>
            <b/>
            <sz val="9"/>
            <color indexed="81"/>
            <rFont val="Tahoma"/>
            <family val="2"/>
          </rPr>
          <t>f3</t>
        </r>
      </text>
    </comment>
    <comment ref="B40" authorId="0" shapeId="0">
      <text>
        <r>
          <rPr>
            <b/>
            <sz val="9"/>
            <color indexed="81"/>
            <rFont val="Tahoma"/>
            <family val="2"/>
          </rPr>
          <t>a3</t>
        </r>
      </text>
    </comment>
    <comment ref="D40" authorId="0" shapeId="0">
      <text>
        <r>
          <rPr>
            <b/>
            <sz val="9"/>
            <color indexed="81"/>
            <rFont val="Tahoma"/>
            <family val="2"/>
          </rPr>
          <t>b3</t>
        </r>
      </text>
    </comment>
    <comment ref="E40" authorId="0" shapeId="0">
      <text>
        <r>
          <rPr>
            <b/>
            <sz val="9"/>
            <color indexed="81"/>
            <rFont val="Tahoma"/>
            <family val="2"/>
          </rPr>
          <t>c3</t>
        </r>
      </text>
    </comment>
    <comment ref="C41" authorId="0" shapeId="0">
      <text>
        <r>
          <rPr>
            <b/>
            <sz val="9"/>
            <color indexed="81"/>
            <rFont val="Tahoma"/>
            <family val="2"/>
          </rPr>
          <t>d3</t>
        </r>
      </text>
    </comment>
    <comment ref="D41" authorId="0" shapeId="0">
      <text>
        <r>
          <rPr>
            <b/>
            <sz val="9"/>
            <color indexed="81"/>
            <rFont val="Tahoma"/>
            <family val="2"/>
          </rPr>
          <t>e3</t>
        </r>
      </text>
    </comment>
    <comment ref="E41" authorId="0" shapeId="0">
      <text>
        <r>
          <rPr>
            <b/>
            <sz val="9"/>
            <color indexed="81"/>
            <rFont val="Tahoma"/>
            <family val="2"/>
          </rPr>
          <t>f3</t>
        </r>
      </text>
    </comment>
    <comment ref="B49" authorId="0" shapeId="0">
      <text>
        <r>
          <rPr>
            <b/>
            <sz val="9"/>
            <color indexed="81"/>
            <rFont val="Tahoma"/>
            <family val="2"/>
          </rPr>
          <t>a4</t>
        </r>
      </text>
    </comment>
    <comment ref="H49" authorId="0" shapeId="0">
      <text>
        <r>
          <rPr>
            <b/>
            <sz val="9"/>
            <color indexed="81"/>
            <rFont val="Tahoma"/>
            <family val="2"/>
          </rPr>
          <t>b4</t>
        </r>
      </text>
    </comment>
    <comment ref="I49" authorId="0" shapeId="0">
      <text>
        <r>
          <rPr>
            <b/>
            <sz val="9"/>
            <color indexed="81"/>
            <rFont val="Tahoma"/>
            <family val="2"/>
          </rPr>
          <t>c4</t>
        </r>
      </text>
    </comment>
    <comment ref="E52" authorId="0" shapeId="0">
      <text>
        <r>
          <rPr>
            <b/>
            <sz val="9"/>
            <color indexed="81"/>
            <rFont val="Tahoma"/>
            <family val="2"/>
          </rPr>
          <t>d4</t>
        </r>
      </text>
    </comment>
    <comment ref="H52" authorId="0" shapeId="0">
      <text>
        <r>
          <rPr>
            <b/>
            <sz val="9"/>
            <color indexed="81"/>
            <rFont val="Tahoma"/>
            <family val="2"/>
          </rPr>
          <t>e4</t>
        </r>
      </text>
    </comment>
    <comment ref="I52" authorId="0" shapeId="0">
      <text>
        <r>
          <rPr>
            <b/>
            <sz val="9"/>
            <color indexed="81"/>
            <rFont val="Tahoma"/>
            <family val="2"/>
          </rPr>
          <t>f4</t>
        </r>
      </text>
    </comment>
    <comment ref="B62" authorId="0" shapeId="0">
      <text>
        <r>
          <rPr>
            <b/>
            <sz val="9"/>
            <color indexed="81"/>
            <rFont val="Tahoma"/>
            <family val="2"/>
          </rPr>
          <t>a5</t>
        </r>
      </text>
    </comment>
    <comment ref="F62" authorId="0" shapeId="0">
      <text>
        <r>
          <rPr>
            <b/>
            <sz val="9"/>
            <color indexed="81"/>
            <rFont val="Tahoma"/>
            <family val="2"/>
          </rPr>
          <t>b5</t>
        </r>
      </text>
    </comment>
    <comment ref="G62" authorId="0" shapeId="0">
      <text>
        <r>
          <rPr>
            <b/>
            <sz val="9"/>
            <color indexed="81"/>
            <rFont val="Tahoma"/>
            <family val="2"/>
          </rPr>
          <t>c5</t>
        </r>
      </text>
    </comment>
    <comment ref="D64" authorId="0" shapeId="0">
      <text>
        <r>
          <rPr>
            <b/>
            <sz val="9"/>
            <color indexed="81"/>
            <rFont val="Tahoma"/>
            <family val="2"/>
          </rPr>
          <t>d5</t>
        </r>
      </text>
    </comment>
    <comment ref="F64" authorId="0" shapeId="0">
      <text>
        <r>
          <rPr>
            <b/>
            <sz val="9"/>
            <color indexed="81"/>
            <rFont val="Tahoma"/>
            <family val="2"/>
          </rPr>
          <t>e5</t>
        </r>
      </text>
    </comment>
    <comment ref="G64" authorId="0" shapeId="0">
      <text>
        <r>
          <rPr>
            <b/>
            <sz val="9"/>
            <color indexed="81"/>
            <rFont val="Tahoma"/>
            <family val="2"/>
          </rPr>
          <t>f5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a6</t>
        </r>
      </text>
    </comment>
    <comment ref="D73" authorId="0" shapeId="0">
      <text>
        <r>
          <rPr>
            <b/>
            <sz val="9"/>
            <color indexed="81"/>
            <rFont val="Tahoma"/>
            <family val="2"/>
          </rPr>
          <t>b6</t>
        </r>
      </text>
    </comment>
    <comment ref="E73" authorId="0" shapeId="0">
      <text>
        <r>
          <rPr>
            <b/>
            <sz val="9"/>
            <color indexed="81"/>
            <rFont val="Tahoma"/>
            <family val="2"/>
          </rPr>
          <t>c6</t>
        </r>
      </text>
    </comment>
    <comment ref="C74" authorId="0" shapeId="0">
      <text>
        <r>
          <rPr>
            <b/>
            <sz val="9"/>
            <color indexed="81"/>
            <rFont val="Tahoma"/>
            <family val="2"/>
          </rPr>
          <t>d6</t>
        </r>
      </text>
    </comment>
    <comment ref="D74" authorId="0" shapeId="0">
      <text>
        <r>
          <rPr>
            <b/>
            <sz val="9"/>
            <color indexed="81"/>
            <rFont val="Tahoma"/>
            <family val="2"/>
          </rPr>
          <t>e6</t>
        </r>
      </text>
    </comment>
    <comment ref="E74" authorId="0" shapeId="0">
      <text>
        <r>
          <rPr>
            <b/>
            <sz val="9"/>
            <color indexed="81"/>
            <rFont val="Tahoma"/>
            <family val="2"/>
          </rPr>
          <t>f6</t>
        </r>
      </text>
    </comment>
    <comment ref="B82" authorId="0" shapeId="0">
      <text>
        <r>
          <rPr>
            <b/>
            <sz val="9"/>
            <color indexed="81"/>
            <rFont val="Tahoma"/>
            <family val="2"/>
          </rPr>
          <t>a7</t>
        </r>
      </text>
    </comment>
    <comment ref="D82" authorId="0" shapeId="0">
      <text>
        <r>
          <rPr>
            <b/>
            <sz val="9"/>
            <color indexed="81"/>
            <rFont val="Tahoma"/>
            <family val="2"/>
          </rPr>
          <t>b7</t>
        </r>
      </text>
    </comment>
    <comment ref="E82" authorId="0" shapeId="0">
      <text>
        <r>
          <rPr>
            <b/>
            <sz val="9"/>
            <color indexed="81"/>
            <rFont val="Tahoma"/>
            <family val="2"/>
          </rPr>
          <t>c7</t>
        </r>
      </text>
    </comment>
    <comment ref="C83" authorId="0" shapeId="0">
      <text>
        <r>
          <rPr>
            <b/>
            <sz val="9"/>
            <color indexed="81"/>
            <rFont val="Tahoma"/>
            <family val="2"/>
          </rPr>
          <t>d7</t>
        </r>
      </text>
    </comment>
    <comment ref="D83" authorId="0" shapeId="0">
      <text>
        <r>
          <rPr>
            <b/>
            <sz val="9"/>
            <color indexed="81"/>
            <rFont val="Tahoma"/>
            <family val="2"/>
          </rPr>
          <t>e7</t>
        </r>
      </text>
    </comment>
    <comment ref="E83" authorId="0" shapeId="0">
      <text>
        <r>
          <rPr>
            <b/>
            <sz val="9"/>
            <color indexed="81"/>
            <rFont val="Tahoma"/>
            <family val="2"/>
          </rPr>
          <t>f7</t>
        </r>
      </text>
    </comment>
  </commentList>
</comments>
</file>

<file path=xl/comments14.xml><?xml version="1.0" encoding="utf-8"?>
<comments xmlns="http://schemas.openxmlformats.org/spreadsheetml/2006/main">
  <authors>
    <author>Suharyadi</author>
  </authors>
  <commentList>
    <comment ref="F6" authorId="0" shapeId="0">
      <text>
        <r>
          <rPr>
            <b/>
            <sz val="9"/>
            <color indexed="81"/>
            <rFont val="Tahoma"/>
            <family val="2"/>
          </rPr>
          <t>NA1</t>
        </r>
      </text>
    </comment>
    <comment ref="F7" authorId="0" shapeId="0">
      <text>
        <r>
          <rPr>
            <b/>
            <sz val="9"/>
            <color indexed="81"/>
            <rFont val="Tahoma"/>
            <family val="2"/>
          </rPr>
          <t>NA2</t>
        </r>
      </text>
    </comment>
    <comment ref="F8" authorId="0" shapeId="0">
      <text>
        <r>
          <rPr>
            <b/>
            <sz val="9"/>
            <color indexed="81"/>
            <rFont val="Tahoma"/>
            <family val="2"/>
          </rPr>
          <t>NA3</t>
        </r>
      </text>
    </comment>
    <comment ref="F9" authorId="0" shapeId="0">
      <text>
        <r>
          <rPr>
            <b/>
            <sz val="9"/>
            <color indexed="81"/>
            <rFont val="Tahoma"/>
            <family val="2"/>
          </rPr>
          <t>NA4</t>
        </r>
      </text>
    </comment>
    <comment ref="F10" authorId="0" shapeId="0">
      <text>
        <r>
          <rPr>
            <b/>
            <sz val="9"/>
            <color indexed="81"/>
            <rFont val="Tahoma"/>
            <family val="2"/>
          </rPr>
          <t>NB1</t>
        </r>
      </text>
    </comment>
    <comment ref="F11" authorId="0" shapeId="0">
      <text>
        <r>
          <rPr>
            <b/>
            <sz val="9"/>
            <color indexed="81"/>
            <rFont val="Tahoma"/>
            <family val="2"/>
          </rPr>
          <t>NB2</t>
        </r>
      </text>
    </comment>
    <comment ref="F12" authorId="0" shapeId="0">
      <text>
        <r>
          <rPr>
            <b/>
            <sz val="9"/>
            <color indexed="81"/>
            <rFont val="Tahoma"/>
            <family val="2"/>
          </rPr>
          <t>NB3</t>
        </r>
      </text>
    </comment>
    <comment ref="F13" authorId="0" shapeId="0">
      <text>
        <r>
          <rPr>
            <b/>
            <sz val="9"/>
            <color indexed="81"/>
            <rFont val="Tahoma"/>
            <family val="2"/>
          </rPr>
          <t>NC1</t>
        </r>
      </text>
    </comment>
    <comment ref="F14" authorId="0" shapeId="0">
      <text>
        <r>
          <rPr>
            <b/>
            <sz val="9"/>
            <color indexed="81"/>
            <rFont val="Tahoma"/>
            <family val="2"/>
          </rPr>
          <t>NC2</t>
        </r>
      </text>
    </comment>
  </commentList>
</comments>
</file>

<file path=xl/comments15.xml><?xml version="1.0" encoding="utf-8"?>
<comments xmlns="http://schemas.openxmlformats.org/spreadsheetml/2006/main">
  <authors>
    <author>Suharyadi</author>
  </authors>
  <commentList>
    <comment ref="C11" authorId="0" shapeId="0">
      <text>
        <r>
          <rPr>
            <b/>
            <sz val="9"/>
            <color indexed="81"/>
            <rFont val="Tahoma"/>
            <family val="2"/>
          </rPr>
          <t>NA</t>
        </r>
      </text>
    </comment>
    <comment ref="C19" authorId="0" shapeId="0">
      <text>
        <r>
          <rPr>
            <b/>
            <sz val="9"/>
            <color indexed="81"/>
            <rFont val="Tahoma"/>
            <family val="2"/>
          </rPr>
          <t>NB</t>
        </r>
      </text>
    </comment>
    <comment ref="C24" authorId="0" shapeId="0">
      <text>
        <r>
          <rPr>
            <b/>
            <sz val="9"/>
            <color indexed="81"/>
            <rFont val="Tahoma"/>
            <family val="2"/>
          </rPr>
          <t>NC</t>
        </r>
      </text>
    </comment>
    <comment ref="C36" authorId="0" shapeId="0">
      <text>
        <r>
          <rPr>
            <b/>
            <sz val="9"/>
            <color indexed="81"/>
            <rFont val="Tahoma"/>
            <family val="2"/>
          </rPr>
          <t>ND</t>
        </r>
      </text>
    </comment>
  </commentList>
</comments>
</file>

<file path=xl/sharedStrings.xml><?xml version="1.0" encoding="utf-8"?>
<sst xmlns="http://schemas.openxmlformats.org/spreadsheetml/2006/main" count="860" uniqueCount="409">
  <si>
    <t>No.</t>
  </si>
  <si>
    <t>Universitas</t>
  </si>
  <si>
    <t>Institut</t>
  </si>
  <si>
    <t>Sekolah Tinggi</t>
  </si>
  <si>
    <t xml:space="preserve">Nama Perguruan Tinggi </t>
  </si>
  <si>
    <t xml:space="preserve">:   </t>
  </si>
  <si>
    <t>ban-pt</t>
  </si>
  <si>
    <t>V</t>
  </si>
  <si>
    <t>Keterangan</t>
  </si>
  <si>
    <t>AKREDITASI PERGURUAN TINGGI</t>
  </si>
  <si>
    <t>BADAN AKREDITASI NASIONAL - PERGURUAN TINGGI</t>
  </si>
  <si>
    <t>Bentuk Perguruan Tinggi</t>
  </si>
  <si>
    <t>Jenis Pengelolaan</t>
  </si>
  <si>
    <t>Sarjana/ Sarjana Terapan</t>
  </si>
  <si>
    <t>Profesi</t>
  </si>
  <si>
    <t>Diploma Tiga</t>
  </si>
  <si>
    <t>Diploma Dua</t>
  </si>
  <si>
    <t>Diploma Satu</t>
  </si>
  <si>
    <t>Etika</t>
  </si>
  <si>
    <t>Kerjasama</t>
  </si>
  <si>
    <t>Perguruan Tinggi Negeri - Satker</t>
  </si>
  <si>
    <t>Perguruan Tinggi Swasta</t>
  </si>
  <si>
    <t>Perguruan Tinggi Negeri - Badan Layanan Umum</t>
  </si>
  <si>
    <t>Perguruan Tinggi Negeri - Badan Hukum</t>
  </si>
  <si>
    <t>Masa Berlaku</t>
  </si>
  <si>
    <t>Opini</t>
  </si>
  <si>
    <t>…</t>
  </si>
  <si>
    <t xml:space="preserve">Catatan: </t>
  </si>
  <si>
    <t>Program Studi</t>
  </si>
  <si>
    <t>Status dan Peringkat Akreditasi</t>
  </si>
  <si>
    <t>Jumlah Program Studi</t>
  </si>
  <si>
    <t>Jumlah</t>
  </si>
  <si>
    <t>Akademik</t>
  </si>
  <si>
    <t>Vokasi</t>
  </si>
  <si>
    <t>S-3</t>
  </si>
  <si>
    <t>S-2</t>
  </si>
  <si>
    <t>S-1</t>
  </si>
  <si>
    <t>Sp-2</t>
  </si>
  <si>
    <t>Sp-1</t>
  </si>
  <si>
    <t>Pro-fesi</t>
  </si>
  <si>
    <t>S-3T</t>
  </si>
  <si>
    <t>S-2T</t>
  </si>
  <si>
    <t>D-4</t>
  </si>
  <si>
    <t>D-3</t>
  </si>
  <si>
    <t>D-2</t>
  </si>
  <si>
    <t>D-1</t>
  </si>
  <si>
    <t>Terakreditasi Unggul</t>
  </si>
  <si>
    <t>Terakreditasi A</t>
  </si>
  <si>
    <t>Terakreditasi Baik Sekali</t>
  </si>
  <si>
    <t>Terakreditasi B</t>
  </si>
  <si>
    <t>Terakreditasi Baik</t>
  </si>
  <si>
    <t>Terakreditasi C</t>
  </si>
  <si>
    <t>Terakreditasi Minimum</t>
  </si>
  <si>
    <t>Tidak Terakreditasi/ Kadaluarsa</t>
  </si>
  <si>
    <t>Bentuk Kegiatan/ Manfaat</t>
  </si>
  <si>
    <t>Bukti Kerjasama</t>
  </si>
  <si>
    <r>
      <t xml:space="preserve">Tingkat </t>
    </r>
    <r>
      <rPr>
        <b/>
        <vertAlign val="superscript"/>
        <sz val="11"/>
        <color theme="1"/>
        <rFont val="Calibri"/>
        <family val="2"/>
        <scheme val="minor"/>
      </rPr>
      <t>*)</t>
    </r>
  </si>
  <si>
    <t>Internasional</t>
  </si>
  <si>
    <t>Nasional</t>
  </si>
  <si>
    <t>Daya Tampung</t>
  </si>
  <si>
    <t>Lulus Seleksi</t>
  </si>
  <si>
    <t>Reguler</t>
  </si>
  <si>
    <t>TS-4</t>
  </si>
  <si>
    <t>TS-3</t>
  </si>
  <si>
    <t>TS-2</t>
  </si>
  <si>
    <t>TS-1</t>
  </si>
  <si>
    <t>TS</t>
  </si>
  <si>
    <t>Total</t>
  </si>
  <si>
    <t>Tahun Akademik</t>
  </si>
  <si>
    <t xml:space="preserve">Jumlah Calon Mahasiswa </t>
  </si>
  <si>
    <t>Jumlah Mahasiswa Baru</t>
  </si>
  <si>
    <t>Jumlah Mahasiswa (Student Body)</t>
  </si>
  <si>
    <t>Pendaftar</t>
  </si>
  <si>
    <t>Fakultas/ Program Studi</t>
  </si>
  <si>
    <t>...</t>
  </si>
  <si>
    <t>Pendidikan Tertinggi</t>
  </si>
  <si>
    <t>Doktor/ Doktor Terapan/ Subspesialis</t>
  </si>
  <si>
    <t>Magister/ Magister Terapan/ Spesialis</t>
  </si>
  <si>
    <t>Tabel 3.a.1) Kecukupan Dosen Perguruan Tinggi</t>
  </si>
  <si>
    <t>Tabel 1.b Akreditasi Program Studi</t>
  </si>
  <si>
    <t>Tabel 1.c Kerjasama Perguruan Tinggi</t>
  </si>
  <si>
    <t>Tabel 2.a Seleksi Mahasiswa Baru</t>
  </si>
  <si>
    <t>Tabel 2.b Mahasiswa Asing</t>
  </si>
  <si>
    <r>
      <t>Transfer</t>
    </r>
    <r>
      <rPr>
        <b/>
        <vertAlign val="superscript"/>
        <sz val="10"/>
        <color theme="1"/>
        <rFont val="Calibri"/>
        <family val="2"/>
        <scheme val="minor"/>
      </rPr>
      <t>*)</t>
    </r>
  </si>
  <si>
    <t>Tabel 3.a.2) Jabatan Akademik Dosen Tetap</t>
  </si>
  <si>
    <t>Pendidikan</t>
  </si>
  <si>
    <t>Jabatan Akademik</t>
  </si>
  <si>
    <t>Tenaga Pengajar</t>
  </si>
  <si>
    <t>Guru Besar</t>
  </si>
  <si>
    <t>Lektor kepala</t>
  </si>
  <si>
    <t>Lektor</t>
  </si>
  <si>
    <t>Unit Pengelola
(Fakultas/Departemen/Jurusan)</t>
  </si>
  <si>
    <t>Jumlah Dosen</t>
  </si>
  <si>
    <r>
      <t>Jumlah Dosen Bersertifikat</t>
    </r>
    <r>
      <rPr>
        <b/>
        <vertAlign val="superscript"/>
        <sz val="10"/>
        <color theme="1"/>
        <rFont val="Calibri"/>
        <family val="2"/>
        <scheme val="minor"/>
      </rPr>
      <t>**)</t>
    </r>
  </si>
  <si>
    <t>Tabel 3.a.4) Dosen Tidak Tetap</t>
  </si>
  <si>
    <t>Tabel 3.b Rasio Dosen terhadap Mahasiswa</t>
  </si>
  <si>
    <t>Tabel 3.c.1) Produktivitas Penelitian Dosen</t>
  </si>
  <si>
    <t>Jumlah Judul Penelitian</t>
  </si>
  <si>
    <t>Perguruan tinggi atau mandiri</t>
  </si>
  <si>
    <t>Lembaga dalam negeri (diluar PT)</t>
  </si>
  <si>
    <t>Lembaga luar negeri</t>
  </si>
  <si>
    <t>Sumber Pembiayaan</t>
  </si>
  <si>
    <t>Tabel 3.c.2) Produktivitas PkM Dosen</t>
  </si>
  <si>
    <t>Jumlah Judul PkM</t>
  </si>
  <si>
    <t>Tabel 3.d Rekognisi Dosen</t>
  </si>
  <si>
    <t>Nama Dosen</t>
  </si>
  <si>
    <t>Bidang Keahlian</t>
  </si>
  <si>
    <t>Rekognisi</t>
  </si>
  <si>
    <t>Tahun</t>
  </si>
  <si>
    <t>Tabel 4.a Perolehan Dana</t>
  </si>
  <si>
    <t>Sumber Dana</t>
  </si>
  <si>
    <t>Jenis Dana</t>
  </si>
  <si>
    <t>Jumlah Dana (Rupiah)</t>
  </si>
  <si>
    <t>Jumlah (Rupiah)</t>
  </si>
  <si>
    <t xml:space="preserve">Mahasiswa </t>
  </si>
  <si>
    <t>SPP</t>
  </si>
  <si>
    <t>Sumbangan lainnya</t>
  </si>
  <si>
    <t>Lain-lain: ...</t>
  </si>
  <si>
    <t>Kementerian/ Yayasan</t>
  </si>
  <si>
    <t>Anggaran pembangunan</t>
  </si>
  <si>
    <t xml:space="preserve">Hibah penelitian </t>
  </si>
  <si>
    <t>Hibah PkM</t>
  </si>
  <si>
    <t xml:space="preserve">Jasa layanan profesi dan/atau keahlian </t>
  </si>
  <si>
    <t>Produk institusi</t>
  </si>
  <si>
    <t>Kerjasama kelembagaan (pemerintah atau swasta)</t>
  </si>
  <si>
    <t>Sumber lain (dalam dan luar negeri)</t>
  </si>
  <si>
    <t>Hibah</t>
  </si>
  <si>
    <t>Dana lestari dan filantropis</t>
  </si>
  <si>
    <t>Jumlah (1 + 2 + 3 + 4)</t>
  </si>
  <si>
    <t>Dana penelitian</t>
  </si>
  <si>
    <t>Dana PkM</t>
  </si>
  <si>
    <t>Jumlah (5)</t>
  </si>
  <si>
    <r>
      <t>Anggaran rutin</t>
    </r>
    <r>
      <rPr>
        <vertAlign val="superscript"/>
        <sz val="10"/>
        <color theme="1"/>
        <rFont val="Calibri"/>
        <family val="2"/>
        <scheme val="minor"/>
      </rPr>
      <t>*)</t>
    </r>
  </si>
  <si>
    <r>
      <t>PT sendiri</t>
    </r>
    <r>
      <rPr>
        <vertAlign val="superscript"/>
        <sz val="10"/>
        <color theme="1"/>
        <rFont val="Calibri"/>
        <family val="2"/>
        <scheme val="minor"/>
      </rPr>
      <t>**)</t>
    </r>
  </si>
  <si>
    <r>
      <t xml:space="preserve">Dana penelitian dan PkM </t>
    </r>
    <r>
      <rPr>
        <vertAlign val="superscript"/>
        <sz val="10"/>
        <color theme="1"/>
        <rFont val="Calibri"/>
        <family val="2"/>
        <scheme val="minor"/>
      </rPr>
      <t>***)</t>
    </r>
  </si>
  <si>
    <t>Tabel 4.b Penggunaan Dana</t>
  </si>
  <si>
    <t>Jenis Penggunaan</t>
  </si>
  <si>
    <t>Dana (Rupiah)</t>
  </si>
  <si>
    <t xml:space="preserve">Jumlah </t>
  </si>
  <si>
    <t>(Rupiah)</t>
  </si>
  <si>
    <t>Investasi prasarana</t>
  </si>
  <si>
    <t xml:space="preserve">Investasi sarana </t>
  </si>
  <si>
    <t>Investasi SDM</t>
  </si>
  <si>
    <t>Lain-lain, sebutkan: ...</t>
  </si>
  <si>
    <r>
      <t xml:space="preserve">Dana operasional proses pembelajaran </t>
    </r>
    <r>
      <rPr>
        <vertAlign val="superscript"/>
        <sz val="10"/>
        <color theme="1"/>
        <rFont val="Calibri"/>
        <family val="2"/>
        <scheme val="minor"/>
      </rPr>
      <t>*)</t>
    </r>
  </si>
  <si>
    <r>
      <t xml:space="preserve">Dana penelitian </t>
    </r>
    <r>
      <rPr>
        <vertAlign val="superscript"/>
        <sz val="10"/>
        <color theme="1"/>
        <rFont val="Calibri"/>
        <family val="2"/>
        <scheme val="minor"/>
      </rPr>
      <t>**)</t>
    </r>
  </si>
  <si>
    <r>
      <t xml:space="preserve">Dana pengabdian kepada masyarakat </t>
    </r>
    <r>
      <rPr>
        <vertAlign val="superscript"/>
        <sz val="10"/>
        <color theme="1"/>
        <rFont val="Calibri"/>
        <family val="2"/>
        <scheme val="minor"/>
      </rPr>
      <t>***)</t>
    </r>
  </si>
  <si>
    <r>
      <t xml:space="preserve">Dana Penelitian </t>
    </r>
    <r>
      <rPr>
        <vertAlign val="superscript"/>
        <sz val="10"/>
        <color theme="1"/>
        <rFont val="Calibri"/>
        <family val="2"/>
        <scheme val="minor"/>
      </rPr>
      <t>****)</t>
    </r>
  </si>
  <si>
    <r>
      <t xml:space="preserve">Dana PkM </t>
    </r>
    <r>
      <rPr>
        <vertAlign val="superscript"/>
        <sz val="10"/>
        <color theme="1"/>
        <rFont val="Calibri"/>
        <family val="2"/>
        <scheme val="minor"/>
      </rPr>
      <t>****)</t>
    </r>
  </si>
  <si>
    <t>Tabel 5.a.1) Indeks Prestasi Mahasiswa (IPK)</t>
  </si>
  <si>
    <t>Program Pendidikan</t>
  </si>
  <si>
    <t>Jumlah PS</t>
  </si>
  <si>
    <t>Jumlah Lulusan pada</t>
  </si>
  <si>
    <t>Rata-rata IPK Lulusan pada</t>
  </si>
  <si>
    <t xml:space="preserve">Doktor/ Doktor Terapan/ Subspesialis, </t>
  </si>
  <si>
    <t xml:space="preserve">Diploma Tiga </t>
  </si>
  <si>
    <t>Tabel 5.b.1) Prestasi Akademik Mahasiswa</t>
  </si>
  <si>
    <t>Nama Kegiatan</t>
  </si>
  <si>
    <t>Prestasi yang Dicapai</t>
  </si>
  <si>
    <t>Provinsi/Wilayah</t>
  </si>
  <si>
    <r>
      <t>Tingkat</t>
    </r>
    <r>
      <rPr>
        <b/>
        <vertAlign val="superscript"/>
        <sz val="10"/>
        <color theme="1"/>
        <rFont val="Calibri"/>
        <family val="2"/>
        <scheme val="minor"/>
      </rPr>
      <t>*)</t>
    </r>
  </si>
  <si>
    <t>Waktu Penyelenggaraan</t>
  </si>
  <si>
    <t>Tabel 5.b.2) Prestasi Non-akademik Mahasiswa</t>
  </si>
  <si>
    <t>Tabel 5.c.1) Lama Studi Mahasiswa</t>
  </si>
  <si>
    <t>Rata-rata Masa Studi Lulusan pada</t>
  </si>
  <si>
    <t>Tabel 5.c.2).a Rasio kelulusan tepat waktu dan rasio keberhasilan studi pada program Doktor/Doktor Terapan/Sub-spesialis</t>
  </si>
  <si>
    <t>Tahun Masuk</t>
  </si>
  <si>
    <t>Jumlah Lulusan s.d. Akhir TS</t>
  </si>
  <si>
    <t>Awal TS-6</t>
  </si>
  <si>
    <t>Awal TS-5</t>
  </si>
  <si>
    <t>Awal TS-4</t>
  </si>
  <si>
    <t>Awal TS-3</t>
  </si>
  <si>
    <t>Awal TS-2</t>
  </si>
  <si>
    <t>Awal TS-1</t>
  </si>
  <si>
    <t>Akhir TS</t>
  </si>
  <si>
    <t>TS-6</t>
  </si>
  <si>
    <t>TS-5</t>
  </si>
  <si>
    <r>
      <t>Jumlah Mahasiswa per Angkatan pada Tahun</t>
    </r>
    <r>
      <rPr>
        <b/>
        <vertAlign val="superscript"/>
        <sz val="10"/>
        <color theme="1"/>
        <rFont val="Calibri"/>
        <family val="2"/>
        <scheme val="minor"/>
      </rPr>
      <t>*)</t>
    </r>
  </si>
  <si>
    <t>Tabel 5.c.2).b Rasio kelulusan tepat waktu dan rasio keberhasilan studi pada program Magister/Magister Terapan/Spesialis</t>
  </si>
  <si>
    <t>Tabel 5.c.2).c Rasio kelulusan tepat waktu dan rasio keberhasilan studi pada program Profesi 1 tahun</t>
  </si>
  <si>
    <t>Jumlah Lulusan s.d. akhir TS</t>
  </si>
  <si>
    <t>awal TS-2</t>
  </si>
  <si>
    <t>awal TS-1</t>
  </si>
  <si>
    <t>awal TS</t>
  </si>
  <si>
    <t>akhir TS</t>
  </si>
  <si>
    <t>Tabel 5.c.2).d Rasio kelulusan tepat waktu dan rasio keberhasilan studi pada program Profesi 2 tahun</t>
  </si>
  <si>
    <t>Jumlah Lulusan  s.d. akhir TS</t>
  </si>
  <si>
    <t>Tabel 5.c.2).e Rasio kelulusan tepat waktu dan rasio keberhasilan studi pada program Sarjana/Sarjana Terapan</t>
  </si>
  <si>
    <t>awal TS-6</t>
  </si>
  <si>
    <t>awal TS-5</t>
  </si>
  <si>
    <t>awal TS-4</t>
  </si>
  <si>
    <t>awal TS-3</t>
  </si>
  <si>
    <t>Tabel 5.c.2).f Rasio kelulusan tepat waktu dan rasio keberhasilan studi pada program Diploma Tiga</t>
  </si>
  <si>
    <t>Tabel 5.c.2).g Rasio kelulusan tepat waktu dan rasio keberhasilan studi pada program Diploma Dua</t>
  </si>
  <si>
    <t>Tabel 5.c.2).h Rasio kelulusan tepat waktu dan rasio keberhasilan studi pada program Diploma Satu</t>
  </si>
  <si>
    <t xml:space="preserve">Jumlah Lulusan pada akhir TS </t>
  </si>
  <si>
    <r>
      <t xml:space="preserve">Jumlah Mahasiswa per Angkatan </t>
    </r>
    <r>
      <rPr>
        <b/>
        <vertAlign val="superscript"/>
        <sz val="10"/>
        <color theme="1"/>
        <rFont val="Calibri"/>
        <family val="2"/>
        <scheme val="minor"/>
      </rPr>
      <t>*)</t>
    </r>
  </si>
  <si>
    <t xml:space="preserve">Jumlah Lulusan s.d. akhir TS </t>
  </si>
  <si>
    <t>Tabel referensi untuk penilaian butir 5.d.1), 5.d.2) dan 5.e.2)</t>
  </si>
  <si>
    <t>Banyaknya Lulusan</t>
  </si>
  <si>
    <t>Banyaknya Lulusan yang memberikan Jawaban</t>
  </si>
  <si>
    <t>Tabel 5.d.1) Waktu Tunggu Lulusan</t>
  </si>
  <si>
    <t xml:space="preserve">Rata-rata Masa Tunggu Lulusan </t>
  </si>
  <si>
    <t xml:space="preserve">Diploma Dua </t>
  </si>
  <si>
    <t>Tabel 5.d.2) Kesesuaian Bidang Kerja Lulusan</t>
  </si>
  <si>
    <t xml:space="preserve">Persentase Kesesuaian Bidang Kerja </t>
  </si>
  <si>
    <t>Tabel referensi untuk penilaian butir 5.e.1)</t>
  </si>
  <si>
    <t>Banyaknya Lulusan yang Dinilai oleh Pengguna</t>
  </si>
  <si>
    <t>Tabel 5.e.1) Kepuasan Pengguna Lulusan</t>
  </si>
  <si>
    <t>No</t>
  </si>
  <si>
    <t xml:space="preserve">Aspek Penilaian </t>
  </si>
  <si>
    <t>Hasil Penilaian (%)</t>
  </si>
  <si>
    <t>Sangat Baik</t>
  </si>
  <si>
    <t>Baik</t>
  </si>
  <si>
    <t>Cukup</t>
  </si>
  <si>
    <t>Kurang</t>
  </si>
  <si>
    <t>Keahlian pada bidang ilmu (kompetensi utama)</t>
  </si>
  <si>
    <t>Kemampuan berbahasa asing</t>
  </si>
  <si>
    <t>Penggunaan teknologi informasi</t>
  </si>
  <si>
    <t>Kemampuan berkomunikasi</t>
  </si>
  <si>
    <t>Pengembangan diri</t>
  </si>
  <si>
    <t>Tabel 5.e.2) Tempat Kerja Lulusan</t>
  </si>
  <si>
    <t>Banyaknya Lulusan yang Telah Bekerja/ Berwirausaha</t>
  </si>
  <si>
    <t>Tingkat/Ukuran Tempat Kerja/Berwirausaha</t>
  </si>
  <si>
    <t>Nasional/ Berwirausaha Berbadan Hukum</t>
  </si>
  <si>
    <t>Lokal/ Wilayah/ Berwirausaha tidak Berbadan Hukum</t>
  </si>
  <si>
    <t>Multinasiona/ Internasional</t>
  </si>
  <si>
    <t>Jenis Publikasi</t>
  </si>
  <si>
    <t xml:space="preserve">Jumlah Judul </t>
  </si>
  <si>
    <t>Jurnal penelitian tidak terakreditasi</t>
  </si>
  <si>
    <t>Jurnal penelitian nasional terakreditasi</t>
  </si>
  <si>
    <t>Jurnal penelitian internasional bereputasi</t>
  </si>
  <si>
    <t>Seminar wilayah/lokal/perguruan tinggi</t>
  </si>
  <si>
    <t>Nama Penulis</t>
  </si>
  <si>
    <t xml:space="preserve">Judul Artikel yang Disitasi (Jurnal, Volume, Tahun, Nomor, Halaman) </t>
  </si>
  <si>
    <t>Banyaknya Artikel yang Mensitasi</t>
  </si>
  <si>
    <t>I</t>
  </si>
  <si>
    <t>II</t>
  </si>
  <si>
    <t>III</t>
  </si>
  <si>
    <t>IV</t>
  </si>
  <si>
    <t>Program Doktor/Doktor Terapan/Subspesialis</t>
  </si>
  <si>
    <t>Program Magister/Magister Terapan/Spesialis</t>
  </si>
  <si>
    <t>Program Sarjana/Sarjana Terapan</t>
  </si>
  <si>
    <t>Program Diploma Tiga</t>
  </si>
  <si>
    <t>Program Diploma Dua</t>
  </si>
  <si>
    <t>Program Diploma Satu</t>
  </si>
  <si>
    <t>Asisten Ahli</t>
  </si>
  <si>
    <t>Program Profesi</t>
  </si>
  <si>
    <t>Fakultas A</t>
  </si>
  <si>
    <t>Fakultas B</t>
  </si>
  <si>
    <t>Fakultas C</t>
  </si>
  <si>
    <t>Fakultas D</t>
  </si>
  <si>
    <t>Fakultas E</t>
  </si>
  <si>
    <t>Jumlah Mahasiswa</t>
  </si>
  <si>
    <r>
      <t xml:space="preserve">Jumlah Mahasiswa TA </t>
    </r>
    <r>
      <rPr>
        <b/>
        <vertAlign val="superscript"/>
        <sz val="10"/>
        <color theme="1"/>
        <rFont val="Calibri"/>
        <family val="2"/>
        <scheme val="minor"/>
      </rPr>
      <t>*)</t>
    </r>
  </si>
  <si>
    <t>Jumlah (1 + 2 + 3 + 4 + 5)</t>
  </si>
  <si>
    <t>a. Profesi 1 Tahun</t>
  </si>
  <si>
    <t>b. Profesi 2 Tahun</t>
  </si>
  <si>
    <t>Tabel 5.c.2) Rasio kelulusan tepat waktu dan rasio keberhasilan studi</t>
  </si>
  <si>
    <t>Tabel 5.f Publikasi Ilmiah</t>
  </si>
  <si>
    <t>Seminar nasional</t>
  </si>
  <si>
    <t>Seminar internasional</t>
  </si>
  <si>
    <t>Tulisan di media massa nasional</t>
  </si>
  <si>
    <t>Tulisan di media massa internasional</t>
  </si>
  <si>
    <t>Jurnal penelitian internasional</t>
  </si>
  <si>
    <t>Luaran Penelitian dan PkM</t>
  </si>
  <si>
    <t>Teknologi Tepat Guna, Produk (Produk Terstandarisasi, Produk Tersertifikasi), Karya Seni, Rekayasa Sosial</t>
  </si>
  <si>
    <r>
      <t xml:space="preserve">Buku ber-ISBN, </t>
    </r>
    <r>
      <rPr>
        <b/>
        <i/>
        <sz val="10"/>
        <color theme="1"/>
        <rFont val="Calibri"/>
        <family val="2"/>
        <scheme val="minor"/>
      </rPr>
      <t>Book Chapter</t>
    </r>
  </si>
  <si>
    <t>Lembaga Sertifikasi/ Akreditasi</t>
  </si>
  <si>
    <t>Tabel 1.a Sertifikasi/Akreditasi Eksternal dan Audit Keuangan Eksternal</t>
  </si>
  <si>
    <t>Lembaga Audit</t>
  </si>
  <si>
    <t>Doktor/Doktor Terapan/Subspesialis</t>
  </si>
  <si>
    <t>Magister/Magister Terapan/Spesialis</t>
  </si>
  <si>
    <t>Tabel 5.h Luaran Lainnya</t>
  </si>
  <si>
    <r>
      <t xml:space="preserve">HKI: </t>
    </r>
    <r>
      <rPr>
        <sz val="10"/>
        <color theme="1"/>
        <rFont val="Calibri"/>
        <family val="2"/>
        <scheme val="minor"/>
      </rPr>
      <t>a) Paten, b) Paten Sederhana</t>
    </r>
  </si>
  <si>
    <r>
      <t xml:space="preserve">HKI: </t>
    </r>
    <r>
      <rPr>
        <sz val="10"/>
        <color theme="1"/>
        <rFont val="Calibri"/>
        <family val="2"/>
        <scheme val="minor"/>
      </rPr>
      <t>a) Hak Cipta, b) Desain Produk Industri,  c) Perlindungan Varietas Tanaman (Sertifikat Perlindungan Varietas Tanaman, Sertifikat Pelepasan Varietas, Sertifikat Pendaftaran Varietas), d) Desain Tata Letak Sirkuit Terpadu, e) dll.)</t>
    </r>
  </si>
  <si>
    <t>Penulis 1</t>
  </si>
  <si>
    <t>Penulis 2</t>
  </si>
  <si>
    <t>Penulis 3</t>
  </si>
  <si>
    <t>Artikel 1a</t>
  </si>
  <si>
    <t>Artikel 1b</t>
  </si>
  <si>
    <t>Artikel 2</t>
  </si>
  <si>
    <t>Artikel 3</t>
  </si>
  <si>
    <t>Paten 1</t>
  </si>
  <si>
    <t>Paten Sederhana 1</t>
  </si>
  <si>
    <t>Hak Cipta 1</t>
  </si>
  <si>
    <t>Desain Produk Industri 1</t>
  </si>
  <si>
    <t>Desain Produk Industri 2</t>
  </si>
  <si>
    <t>Sertifikat Perlindungan Varietas Tanaman 1</t>
  </si>
  <si>
    <t>Buku 1</t>
  </si>
  <si>
    <t>Buku 2</t>
  </si>
  <si>
    <t>Buku 3</t>
  </si>
  <si>
    <t>Buku 4</t>
  </si>
  <si>
    <t>Buku 5</t>
  </si>
  <si>
    <t>Buku 6</t>
  </si>
  <si>
    <t>Buku 7</t>
  </si>
  <si>
    <t>Buku 8</t>
  </si>
  <si>
    <t>TTG 1</t>
  </si>
  <si>
    <t>Lingkup (PT/Fakultas/Unit)</t>
  </si>
  <si>
    <t>Jenis Sertifikasi/Akreditasi</t>
  </si>
  <si>
    <t>Tingkat (Nasional/Internasional)</t>
  </si>
  <si>
    <t>Lembaga Akreditasi Internasional</t>
  </si>
  <si>
    <t>Status/ Peringkat</t>
  </si>
  <si>
    <t>Lingkup</t>
  </si>
  <si>
    <t>Tingkat</t>
  </si>
  <si>
    <t>Unit</t>
  </si>
  <si>
    <t>PT/ Fakultas</t>
  </si>
  <si>
    <t>Jumlah program studi pada program utama yang terakreditasi oleh lembaga internasional bereputasi =</t>
  </si>
  <si>
    <t>PS A</t>
  </si>
  <si>
    <t>PS D</t>
  </si>
  <si>
    <t>Check</t>
  </si>
  <si>
    <t>Jumlah kerjasama tridharma tingkat wilayah/lokal =</t>
  </si>
  <si>
    <t>Jumlah kerjasama tridharma tingkat nasional =</t>
  </si>
  <si>
    <t>Jumlah kerjasama tridharma tingkat internasional =</t>
  </si>
  <si>
    <t>Universitas A</t>
  </si>
  <si>
    <t>Universitas B</t>
  </si>
  <si>
    <t>Lembaga A</t>
  </si>
  <si>
    <t>Lembaga B</t>
  </si>
  <si>
    <t>Lembaga C</t>
  </si>
  <si>
    <t>Wilayah/ Lokal</t>
  </si>
  <si>
    <t>Jumlah pengakuan atas prestasi/kinerja dosen tetap dalam 3 tahun terakhir =</t>
  </si>
  <si>
    <t>Dosen A</t>
  </si>
  <si>
    <t>Dosen B</t>
  </si>
  <si>
    <t>Rekognisi 1</t>
  </si>
  <si>
    <t>Rekognisi 2</t>
  </si>
  <si>
    <t>Rekognisi 5</t>
  </si>
  <si>
    <t>Dosen C</t>
  </si>
  <si>
    <t>Dosen D</t>
  </si>
  <si>
    <t>Bidang Keahlian A</t>
  </si>
  <si>
    <t>Bidang Keahlian B</t>
  </si>
  <si>
    <t>Bidang Keahlian C</t>
  </si>
  <si>
    <t>Dosen E</t>
  </si>
  <si>
    <t xml:space="preserve">Jumlah sertifikasi/akreditasi dalam lingkup PT/Fakultas oleh lembaga internasional bereputasi = </t>
  </si>
  <si>
    <t xml:space="preserve">Jumlah sertifikasi/akreditasi dalam lingkup PT/ Fakultas lembaga nasional bereputasi = </t>
  </si>
  <si>
    <t>Jumlah sertifikasi/akreditasi dalam lingkup unit (laboratorium, dll.) oleh lembaga internasional/nasional bereputasi =</t>
  </si>
  <si>
    <t>Lembaga D</t>
  </si>
  <si>
    <t>Lembaga E</t>
  </si>
  <si>
    <t>PT A</t>
  </si>
  <si>
    <t>PT B</t>
  </si>
  <si>
    <t>Lembaga 1</t>
  </si>
  <si>
    <t>Lembaga 2</t>
  </si>
  <si>
    <t>Lembaga 3</t>
  </si>
  <si>
    <t>PS B</t>
  </si>
  <si>
    <t>PS C</t>
  </si>
  <si>
    <t>PS F</t>
  </si>
  <si>
    <t>Lembaga Mitra Kerjasama</t>
  </si>
  <si>
    <t>Tabel 3.a.3) Sertifikasi Dosen (Pendidik Profesional/Profesi/Industri/Kompetensi)</t>
  </si>
  <si>
    <t>Nomor dan Judul Tabel</t>
  </si>
  <si>
    <t>Nama Sheet</t>
  </si>
  <si>
    <t>1b</t>
  </si>
  <si>
    <t>1c</t>
  </si>
  <si>
    <t>2a</t>
  </si>
  <si>
    <t>2b</t>
  </si>
  <si>
    <t>3a1</t>
  </si>
  <si>
    <t>3a2</t>
  </si>
  <si>
    <t>3a3</t>
  </si>
  <si>
    <t>3a4</t>
  </si>
  <si>
    <t>3b</t>
  </si>
  <si>
    <t>3c1</t>
  </si>
  <si>
    <t>3c2</t>
  </si>
  <si>
    <t>3d</t>
  </si>
  <si>
    <t>4a</t>
  </si>
  <si>
    <t>4b</t>
  </si>
  <si>
    <t>5a1</t>
  </si>
  <si>
    <t>5b1</t>
  </si>
  <si>
    <t>5b2</t>
  </si>
  <si>
    <t>5c1</t>
  </si>
  <si>
    <t xml:space="preserve">Tabel 5.c.2) Rasio kelulusan tepat waktu dan rasio keberhasilan studi </t>
  </si>
  <si>
    <t>5c2</t>
  </si>
  <si>
    <t>5d1</t>
  </si>
  <si>
    <t>5d2</t>
  </si>
  <si>
    <t>5e1</t>
  </si>
  <si>
    <t>5e2</t>
  </si>
  <si>
    <t>5h</t>
  </si>
  <si>
    <t>&lt;&lt;&lt; Daftar Tabel</t>
  </si>
  <si>
    <t>DAFTAR TABEL - LAPORAN KINERJA PERGURUAN TINGGI</t>
  </si>
  <si>
    <t>5g</t>
  </si>
  <si>
    <t>Ref 5e1</t>
  </si>
  <si>
    <t>Ref 5d1d2e2</t>
  </si>
  <si>
    <t>5f</t>
  </si>
  <si>
    <t>Tabel 5.g Sitasi Karya Ilmiah</t>
  </si>
  <si>
    <r>
      <t>*)</t>
    </r>
    <r>
      <rPr>
        <sz val="11"/>
        <color theme="1"/>
        <rFont val="Calibri"/>
        <family val="2"/>
        <scheme val="minor"/>
      </rPr>
      <t xml:space="preserve"> Beri tanda V pada kolom yang sesuai</t>
    </r>
  </si>
  <si>
    <t>Prestasi 1</t>
  </si>
  <si>
    <t>Prestasi 2</t>
  </si>
  <si>
    <t>Prestasi 3</t>
  </si>
  <si>
    <t>Prestasi 4</t>
  </si>
  <si>
    <t>Prestasi 5</t>
  </si>
  <si>
    <t>Prestasi 6</t>
  </si>
  <si>
    <t>Prestasi 7</t>
  </si>
  <si>
    <t xml:space="preserve">Alamat </t>
  </si>
  <si>
    <t>Tanggal</t>
  </si>
  <si>
    <t>Nomor Telepon</t>
  </si>
  <si>
    <t>E-mail</t>
  </si>
  <si>
    <t>Website</t>
  </si>
  <si>
    <t>Nomor SK Pendirian PT</t>
  </si>
  <si>
    <t>Tanggal SK Pendirian PT</t>
  </si>
  <si>
    <t>Peringkat Akreditasi PT</t>
  </si>
  <si>
    <t>Nomor SK BAN-PT</t>
  </si>
  <si>
    <t>Nama Pengusul</t>
  </si>
  <si>
    <t>Tabel 1.a.1) Sertifikasi/Akreditasi Eksternal</t>
  </si>
  <si>
    <t>Tabel 1.a.2) Akreditasi Internasional Program Studi</t>
  </si>
  <si>
    <t>Tabel 1.a.3) Audit Eksternal Keuangan</t>
  </si>
  <si>
    <t>1a1</t>
  </si>
  <si>
    <t>1a2</t>
  </si>
  <si>
    <t>Tabel 1.a.3) Audit Keuangan Eksternal</t>
  </si>
  <si>
    <t>1a3</t>
  </si>
  <si>
    <t>PERGURUAN TINGGI AKADEMIK</t>
  </si>
  <si>
    <t>versi 1.2</t>
  </si>
  <si>
    <t>Tahun Referensi (TS)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</si>
</sst>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%"/>
    <numFmt numFmtId="165" formatCode="[$IDR]\ #,##0_);\([$IDR]\ #,##0\)"/>
    <numFmt numFmtId="166" formatCode="_(* #,##0_);_(* \(#,##0\);_(* &quot;-&quot;??_);_(@_)"/>
  </numFmts>
  <fonts count="27" x14ac:knownFonts="1">
    <font>
      <sz val="11"/>
      <color theme="1"/>
      <name val="Calibri"/>
      <family val="2"/>
      <scheme val="minor"/>
    </font>
    <font>
      <b/>
      <sz val="14"/>
      <color indexed="9"/>
      <name val="Calibri"/>
      <family val="2"/>
    </font>
    <font>
      <b/>
      <sz val="26"/>
      <color indexed="9"/>
      <name val="Calibri"/>
      <family val="2"/>
    </font>
    <font>
      <b/>
      <sz val="16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indexed="9"/>
      <name val="Calibri"/>
      <family val="2"/>
    </font>
    <font>
      <b/>
      <sz val="22"/>
      <color theme="1"/>
      <name val="Calibri"/>
      <family val="2"/>
      <scheme val="minor"/>
    </font>
    <font>
      <sz val="11"/>
      <color rgb="FFFFFF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vertAlign val="superscript"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vertAlign val="superscript"/>
      <sz val="11"/>
      <color theme="1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14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lightGray">
        <bgColor rgb="FFCCCCCC"/>
      </patternFill>
    </fill>
    <fill>
      <patternFill patternType="gray125">
        <bgColor rgb="FFD9D9D9"/>
      </patternFill>
    </fill>
    <fill>
      <patternFill patternType="gray125">
        <bgColor theme="3" tint="0.59999389629810485"/>
      </patternFill>
    </fill>
    <fill>
      <patternFill patternType="lightGray">
        <bgColor theme="3" tint="0.59999389629810485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rgb="FFFFFF00"/>
      </right>
      <top/>
      <bottom/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</cellStyleXfs>
  <cellXfs count="175">
    <xf numFmtId="0" fontId="0" fillId="0" borderId="0" xfId="0"/>
    <xf numFmtId="0" fontId="0" fillId="0" borderId="0" xfId="0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/>
    </xf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5" fillId="0" borderId="0" xfId="0" applyFont="1" applyAlignment="1">
      <alignment vertical="center"/>
    </xf>
    <xf numFmtId="0" fontId="0" fillId="2" borderId="0" xfId="0" applyFill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6" fillId="2" borderId="0" xfId="0" applyFont="1" applyFill="1" applyAlignment="1">
      <alignment vertical="center" wrapText="1"/>
    </xf>
    <xf numFmtId="0" fontId="4" fillId="2" borderId="0" xfId="0" applyFont="1" applyFill="1" applyAlignment="1">
      <alignment vertical="center"/>
    </xf>
    <xf numFmtId="0" fontId="0" fillId="2" borderId="7" xfId="0" applyFill="1" applyBorder="1" applyAlignment="1">
      <alignment vertical="center"/>
    </xf>
    <xf numFmtId="14" fontId="0" fillId="2" borderId="0" xfId="0" applyNumberFormat="1" applyFill="1" applyAlignment="1">
      <alignment vertical="center"/>
    </xf>
    <xf numFmtId="0" fontId="8" fillId="2" borderId="0" xfId="0" applyFont="1" applyFill="1" applyAlignment="1">
      <alignment vertical="center"/>
    </xf>
    <xf numFmtId="14" fontId="8" fillId="2" borderId="0" xfId="0" applyNumberFormat="1" applyFont="1" applyFill="1" applyAlignment="1">
      <alignment vertical="center"/>
    </xf>
    <xf numFmtId="0" fontId="15" fillId="0" borderId="1" xfId="0" applyFont="1" applyBorder="1" applyAlignment="1">
      <alignment vertical="top" wrapText="1"/>
    </xf>
    <xf numFmtId="0" fontId="0" fillId="0" borderId="0" xfId="0" applyFont="1" applyAlignment="1">
      <alignment vertical="center"/>
    </xf>
    <xf numFmtId="0" fontId="14" fillId="8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4" fillId="9" borderId="4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2" fontId="15" fillId="5" borderId="1" xfId="0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21" fillId="5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left"/>
    </xf>
    <xf numFmtId="0" fontId="14" fillId="9" borderId="1" xfId="0" applyFont="1" applyFill="1" applyBorder="1" applyAlignment="1">
      <alignment horizontal="center" vertical="top" wrapText="1"/>
    </xf>
    <xf numFmtId="0" fontId="14" fillId="9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5" fillId="5" borderId="1" xfId="0" applyFont="1" applyFill="1" applyBorder="1" applyAlignment="1">
      <alignment vertical="top" wrapText="1"/>
    </xf>
    <xf numFmtId="0" fontId="15" fillId="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 vertical="top" wrapText="1"/>
    </xf>
    <xf numFmtId="0" fontId="15" fillId="5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12" fillId="10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justify" vertical="center"/>
    </xf>
    <xf numFmtId="0" fontId="0" fillId="0" borderId="0" xfId="0" applyFont="1" applyAlignment="1">
      <alignment horizontal="left" indent="2"/>
    </xf>
    <xf numFmtId="0" fontId="12" fillId="1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5" fillId="13" borderId="1" xfId="0" applyFont="1" applyFill="1" applyBorder="1" applyAlignment="1">
      <alignment vertical="center" wrapText="1"/>
    </xf>
    <xf numFmtId="0" fontId="15" fillId="14" borderId="1" xfId="0" applyFont="1" applyFill="1" applyBorder="1" applyAlignment="1">
      <alignment vertical="center" wrapText="1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0" fontId="0" fillId="0" borderId="0" xfId="0" applyFont="1" applyAlignment="1">
      <alignment horizontal="left" vertical="center" indent="2"/>
    </xf>
    <xf numFmtId="9" fontId="15" fillId="5" borderId="1" xfId="2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top" wrapText="1"/>
    </xf>
    <xf numFmtId="0" fontId="0" fillId="5" borderId="1" xfId="0" applyFont="1" applyFill="1" applyBorder="1" applyAlignment="1">
      <alignment horizontal="center" vertical="center" wrapText="1"/>
    </xf>
    <xf numFmtId="0" fontId="0" fillId="0" borderId="0" xfId="0" applyFont="1" applyFill="1" applyAlignment="1">
      <alignment vertical="center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5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165" fontId="12" fillId="0" borderId="0" xfId="0" applyNumberFormat="1" applyFont="1" applyFill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/>
    </xf>
    <xf numFmtId="0" fontId="12" fillId="10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164" fontId="15" fillId="5" borderId="1" xfId="2" applyNumberFormat="1" applyFont="1" applyFill="1" applyBorder="1" applyAlignment="1">
      <alignment horizontal="center" vertical="center" wrapText="1"/>
    </xf>
    <xf numFmtId="166" fontId="15" fillId="5" borderId="1" xfId="3" applyNumberFormat="1" applyFont="1" applyFill="1" applyBorder="1" applyAlignment="1">
      <alignment vertical="center" wrapText="1"/>
    </xf>
    <xf numFmtId="166" fontId="15" fillId="0" borderId="1" xfId="3" applyNumberFormat="1" applyFont="1" applyBorder="1" applyAlignment="1">
      <alignment vertical="center" wrapText="1"/>
    </xf>
    <xf numFmtId="166" fontId="12" fillId="0" borderId="1" xfId="3" applyNumberFormat="1" applyFont="1" applyBorder="1" applyAlignment="1">
      <alignment vertical="center" wrapText="1"/>
    </xf>
    <xf numFmtId="166" fontId="12" fillId="5" borderId="1" xfId="3" applyNumberFormat="1" applyFont="1" applyFill="1" applyBorder="1" applyAlignment="1">
      <alignment vertical="center" wrapText="1"/>
    </xf>
    <xf numFmtId="166" fontId="12" fillId="0" borderId="1" xfId="3" applyNumberFormat="1" applyFont="1" applyFill="1" applyBorder="1" applyAlignment="1">
      <alignment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5" borderId="5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top" wrapText="1"/>
    </xf>
    <xf numFmtId="0" fontId="0" fillId="0" borderId="0" xfId="0" applyFont="1" applyAlignment="1">
      <alignment horizontal="left" vertical="center"/>
    </xf>
    <xf numFmtId="0" fontId="15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left" vertical="top" wrapText="1"/>
    </xf>
    <xf numFmtId="0" fontId="10" fillId="0" borderId="0" xfId="0" applyFont="1" applyFill="1" applyAlignment="1">
      <alignment vertical="center"/>
    </xf>
    <xf numFmtId="0" fontId="23" fillId="11" borderId="1" xfId="0" applyFont="1" applyFill="1" applyBorder="1" applyAlignment="1">
      <alignment horizontal="center" vertical="center" wrapText="1"/>
    </xf>
    <xf numFmtId="0" fontId="0" fillId="0" borderId="0" xfId="0" quotePrefix="1" applyFont="1" applyAlignment="1">
      <alignment vertical="center"/>
    </xf>
    <xf numFmtId="0" fontId="15" fillId="0" borderId="0" xfId="0" applyFont="1" applyFill="1" applyBorder="1" applyAlignment="1">
      <alignment horizontal="center" wrapText="1"/>
    </xf>
    <xf numFmtId="0" fontId="15" fillId="0" borderId="0" xfId="0" applyFont="1" applyFill="1" applyBorder="1" applyAlignment="1">
      <alignment vertical="top" wrapText="1"/>
    </xf>
    <xf numFmtId="0" fontId="0" fillId="0" borderId="0" xfId="0" applyFont="1" applyFill="1"/>
    <xf numFmtId="0" fontId="0" fillId="4" borderId="0" xfId="0" applyFont="1" applyFill="1" applyAlignment="1">
      <alignment horizontal="center"/>
    </xf>
    <xf numFmtId="0" fontId="0" fillId="4" borderId="0" xfId="0" applyFont="1" applyFill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11" fillId="0" borderId="0" xfId="0" applyFont="1"/>
    <xf numFmtId="0" fontId="11" fillId="1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0" fontId="25" fillId="0" borderId="1" xfId="5" applyBorder="1" applyAlignment="1" applyProtection="1">
      <alignment horizont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25" fillId="0" borderId="1" xfId="5" applyNumberFormat="1" applyBorder="1" applyAlignment="1" applyProtection="1">
      <alignment horizontal="center"/>
    </xf>
    <xf numFmtId="0" fontId="24" fillId="15" borderId="0" xfId="4" applyFill="1" applyAlignment="1">
      <alignment vertical="center"/>
    </xf>
    <xf numFmtId="0" fontId="24" fillId="0" borderId="1" xfId="4" applyBorder="1" applyAlignment="1" applyProtection="1">
      <alignment horizontal="center"/>
    </xf>
    <xf numFmtId="0" fontId="12" fillId="0" borderId="1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0" fontId="24" fillId="0" borderId="0" xfId="4" applyFill="1" applyAlignment="1">
      <alignment vertical="center"/>
    </xf>
    <xf numFmtId="0" fontId="26" fillId="5" borderId="1" xfId="0" applyFont="1" applyFill="1" applyBorder="1"/>
    <xf numFmtId="0" fontId="26" fillId="3" borderId="0" xfId="0" applyFont="1" applyFill="1" applyAlignment="1">
      <alignment horizontal="left"/>
    </xf>
    <xf numFmtId="15" fontId="5" fillId="3" borderId="0" xfId="0" applyNumberFormat="1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7" fillId="16" borderId="0" xfId="0" applyFont="1" applyFill="1" applyBorder="1" applyAlignment="1" applyProtection="1">
      <alignment horizontal="center" vertical="center"/>
    </xf>
    <xf numFmtId="0" fontId="7" fillId="6" borderId="0" xfId="0" applyFont="1" applyFill="1" applyBorder="1" applyAlignment="1" applyProtection="1">
      <alignment horizontal="center" vertical="center"/>
    </xf>
    <xf numFmtId="0" fontId="7" fillId="7" borderId="0" xfId="0" applyFont="1" applyFill="1" applyBorder="1" applyAlignment="1" applyProtection="1">
      <alignment horizontal="center" vertical="center"/>
    </xf>
    <xf numFmtId="0" fontId="5" fillId="3" borderId="0" xfId="0" applyFont="1" applyFill="1" applyAlignment="1">
      <alignment horizontal="left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12" fillId="12" borderId="1" xfId="0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3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top" wrapText="1"/>
    </xf>
    <xf numFmtId="0" fontId="15" fillId="0" borderId="2" xfId="0" applyFont="1" applyBorder="1" applyAlignment="1">
      <alignment horizontal="center" vertical="top" wrapText="1"/>
    </xf>
    <xf numFmtId="0" fontId="12" fillId="10" borderId="6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</cellXfs>
  <cellStyles count="6">
    <cellStyle name="Comma" xfId="3" builtinId="3"/>
    <cellStyle name="Hyperlink" xfId="4" builtinId="8"/>
    <cellStyle name="Hyperlink 2" xfId="5"/>
    <cellStyle name="Normal" xfId="0" builtinId="0"/>
    <cellStyle name="Percent" xfId="2" builtinId="5"/>
    <cellStyle name="Percent 2" xfId="1"/>
  </cellStyles>
  <dxfs count="30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66FF33"/>
      <color rgb="FF00FF00"/>
      <color rgb="FFFF66FF"/>
      <color rgb="FFD48B6A"/>
      <color rgb="FFCD795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704850</xdr:colOff>
      <xdr:row>7</xdr:row>
      <xdr:rowOff>82550</xdr:rowOff>
    </xdr:from>
    <xdr:to>
      <xdr:col>1</xdr:col>
      <xdr:colOff>330200</xdr:colOff>
      <xdr:row>9</xdr:row>
      <xdr:rowOff>101600</xdr:rowOff>
    </xdr:to>
    <xdr:sp macro="" textlink="">
      <xdr:nvSpPr>
        <xdr:cNvPr id="4" name="Callout: Up Arrow 3">
          <a:extLst>
            <a:ext uri="{FF2B5EF4-FFF2-40B4-BE49-F238E27FC236}">
              <a16:creationId xmlns:a16="http://schemas.microsoft.com/office/drawing/2014/main" xmlns="" id="{CF12414F-8D2D-42D2-B8E4-01194C5AC0A9}"/>
            </a:ext>
          </a:extLst>
        </xdr:cNvPr>
        <xdr:cNvSpPr/>
      </xdr:nvSpPr>
      <xdr:spPr>
        <a:xfrm>
          <a:off x="704850" y="15557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a1</a:t>
          </a:r>
        </a:p>
      </xdr:txBody>
    </xdr:sp>
    <xdr:clientData/>
  </xdr:twoCellAnchor>
  <xdr:twoCellAnchor>
    <xdr:from>
      <xdr:col>4</xdr:col>
      <xdr:colOff>698500</xdr:colOff>
      <xdr:row>11</xdr:row>
      <xdr:rowOff>82550</xdr:rowOff>
    </xdr:from>
    <xdr:to>
      <xdr:col>5</xdr:col>
      <xdr:colOff>323850</xdr:colOff>
      <xdr:row>13</xdr:row>
      <xdr:rowOff>101600</xdr:rowOff>
    </xdr:to>
    <xdr:sp macro="" textlink="">
      <xdr:nvSpPr>
        <xdr:cNvPr id="5" name="Callout: Up Arrow 4">
          <a:extLst>
            <a:ext uri="{FF2B5EF4-FFF2-40B4-BE49-F238E27FC236}">
              <a16:creationId xmlns:a16="http://schemas.microsoft.com/office/drawing/2014/main" xmlns="" id="{9109E56C-BDF6-42C8-BF0A-6A6C1100F650}"/>
            </a:ext>
          </a:extLst>
        </xdr:cNvPr>
        <xdr:cNvSpPr/>
      </xdr:nvSpPr>
      <xdr:spPr>
        <a:xfrm>
          <a:off x="3670300" y="22923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d1</a:t>
          </a:r>
        </a:p>
      </xdr:txBody>
    </xdr:sp>
    <xdr:clientData/>
  </xdr:twoCellAnchor>
  <xdr:twoCellAnchor>
    <xdr:from>
      <xdr:col>6</xdr:col>
      <xdr:colOff>698500</xdr:colOff>
      <xdr:row>11</xdr:row>
      <xdr:rowOff>82550</xdr:rowOff>
    </xdr:from>
    <xdr:to>
      <xdr:col>7</xdr:col>
      <xdr:colOff>323850</xdr:colOff>
      <xdr:row>13</xdr:row>
      <xdr:rowOff>101600</xdr:rowOff>
    </xdr:to>
    <xdr:sp macro="" textlink="">
      <xdr:nvSpPr>
        <xdr:cNvPr id="6" name="Callout: Up Arrow 5">
          <a:extLst>
            <a:ext uri="{FF2B5EF4-FFF2-40B4-BE49-F238E27FC236}">
              <a16:creationId xmlns:a16="http://schemas.microsoft.com/office/drawing/2014/main" xmlns="" id="{EC5E0945-D89A-4ACB-ADE2-59A60A68E5E2}"/>
            </a:ext>
          </a:extLst>
        </xdr:cNvPr>
        <xdr:cNvSpPr/>
      </xdr:nvSpPr>
      <xdr:spPr>
        <a:xfrm>
          <a:off x="5156200" y="22923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e1</a:t>
          </a:r>
        </a:p>
      </xdr:txBody>
    </xdr:sp>
    <xdr:clientData/>
  </xdr:twoCellAnchor>
  <xdr:twoCellAnchor>
    <xdr:from>
      <xdr:col>7</xdr:col>
      <xdr:colOff>708025</xdr:colOff>
      <xdr:row>11</xdr:row>
      <xdr:rowOff>82550</xdr:rowOff>
    </xdr:from>
    <xdr:to>
      <xdr:col>8</xdr:col>
      <xdr:colOff>333375</xdr:colOff>
      <xdr:row>13</xdr:row>
      <xdr:rowOff>101600</xdr:rowOff>
    </xdr:to>
    <xdr:sp macro="" textlink="">
      <xdr:nvSpPr>
        <xdr:cNvPr id="7" name="Callout: Up Arrow 6">
          <a:extLst>
            <a:ext uri="{FF2B5EF4-FFF2-40B4-BE49-F238E27FC236}">
              <a16:creationId xmlns:a16="http://schemas.microsoft.com/office/drawing/2014/main" xmlns="" id="{B7D8A8BF-E095-46B9-8E2A-25AB79909663}"/>
            </a:ext>
          </a:extLst>
        </xdr:cNvPr>
        <xdr:cNvSpPr/>
      </xdr:nvSpPr>
      <xdr:spPr>
        <a:xfrm>
          <a:off x="5908675" y="22923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f1</a:t>
          </a:r>
        </a:p>
      </xdr:txBody>
    </xdr:sp>
    <xdr:clientData/>
  </xdr:twoCellAnchor>
  <xdr:twoCellAnchor>
    <xdr:from>
      <xdr:col>6</xdr:col>
      <xdr:colOff>698500</xdr:colOff>
      <xdr:row>7</xdr:row>
      <xdr:rowOff>82550</xdr:rowOff>
    </xdr:from>
    <xdr:to>
      <xdr:col>7</xdr:col>
      <xdr:colOff>323850</xdr:colOff>
      <xdr:row>9</xdr:row>
      <xdr:rowOff>101600</xdr:rowOff>
    </xdr:to>
    <xdr:sp macro="" textlink="">
      <xdr:nvSpPr>
        <xdr:cNvPr id="8" name="Callout: Up Arrow 7">
          <a:extLst>
            <a:ext uri="{FF2B5EF4-FFF2-40B4-BE49-F238E27FC236}">
              <a16:creationId xmlns:a16="http://schemas.microsoft.com/office/drawing/2014/main" xmlns="" id="{0B17D578-521F-418C-8944-EB36AEB16510}"/>
            </a:ext>
          </a:extLst>
        </xdr:cNvPr>
        <xdr:cNvSpPr/>
      </xdr:nvSpPr>
      <xdr:spPr>
        <a:xfrm>
          <a:off x="5156200" y="15557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b1</a:t>
          </a:r>
        </a:p>
      </xdr:txBody>
    </xdr:sp>
    <xdr:clientData/>
  </xdr:twoCellAnchor>
  <xdr:twoCellAnchor>
    <xdr:from>
      <xdr:col>7</xdr:col>
      <xdr:colOff>708025</xdr:colOff>
      <xdr:row>7</xdr:row>
      <xdr:rowOff>82550</xdr:rowOff>
    </xdr:from>
    <xdr:to>
      <xdr:col>8</xdr:col>
      <xdr:colOff>333375</xdr:colOff>
      <xdr:row>9</xdr:row>
      <xdr:rowOff>101600</xdr:rowOff>
    </xdr:to>
    <xdr:sp macro="" textlink="">
      <xdr:nvSpPr>
        <xdr:cNvPr id="9" name="Callout: Up Arrow 8">
          <a:extLst>
            <a:ext uri="{FF2B5EF4-FFF2-40B4-BE49-F238E27FC236}">
              <a16:creationId xmlns:a16="http://schemas.microsoft.com/office/drawing/2014/main" xmlns="" id="{7D53AA57-CF56-4B67-B270-B7CFE2AC54B0}"/>
            </a:ext>
          </a:extLst>
        </xdr:cNvPr>
        <xdr:cNvSpPr/>
      </xdr:nvSpPr>
      <xdr:spPr>
        <a:xfrm>
          <a:off x="5908675" y="15557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c11</a:t>
          </a:r>
        </a:p>
      </xdr:txBody>
    </xdr:sp>
    <xdr:clientData/>
  </xdr:twoCellAnchor>
  <xdr:twoCellAnchor>
    <xdr:from>
      <xdr:col>0</xdr:col>
      <xdr:colOff>685800</xdr:colOff>
      <xdr:row>20</xdr:row>
      <xdr:rowOff>57150</xdr:rowOff>
    </xdr:from>
    <xdr:to>
      <xdr:col>1</xdr:col>
      <xdr:colOff>311150</xdr:colOff>
      <xdr:row>22</xdr:row>
      <xdr:rowOff>76200</xdr:rowOff>
    </xdr:to>
    <xdr:sp macro="" textlink="">
      <xdr:nvSpPr>
        <xdr:cNvPr id="10" name="Callout: Up Arrow 9">
          <a:extLst>
            <a:ext uri="{FF2B5EF4-FFF2-40B4-BE49-F238E27FC236}">
              <a16:creationId xmlns:a16="http://schemas.microsoft.com/office/drawing/2014/main" xmlns="" id="{2E8EEDAA-6FF9-48A9-AEB9-72BC89B77487}"/>
            </a:ext>
          </a:extLst>
        </xdr:cNvPr>
        <xdr:cNvSpPr/>
      </xdr:nvSpPr>
      <xdr:spPr>
        <a:xfrm>
          <a:off x="685800" y="50546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a2</a:t>
          </a:r>
        </a:p>
      </xdr:txBody>
    </xdr:sp>
    <xdr:clientData/>
  </xdr:twoCellAnchor>
  <xdr:twoCellAnchor>
    <xdr:from>
      <xdr:col>2</xdr:col>
      <xdr:colOff>704850</xdr:colOff>
      <xdr:row>22</xdr:row>
      <xdr:rowOff>127000</xdr:rowOff>
    </xdr:from>
    <xdr:to>
      <xdr:col>3</xdr:col>
      <xdr:colOff>330200</xdr:colOff>
      <xdr:row>24</xdr:row>
      <xdr:rowOff>158750</xdr:rowOff>
    </xdr:to>
    <xdr:sp macro="" textlink="">
      <xdr:nvSpPr>
        <xdr:cNvPr id="11" name="Callout: Up Arrow 10">
          <a:extLst>
            <a:ext uri="{FF2B5EF4-FFF2-40B4-BE49-F238E27FC236}">
              <a16:creationId xmlns:a16="http://schemas.microsoft.com/office/drawing/2014/main" xmlns="" id="{F9819612-4731-4BC8-AA80-167BA894AEAF}"/>
            </a:ext>
          </a:extLst>
        </xdr:cNvPr>
        <xdr:cNvSpPr/>
      </xdr:nvSpPr>
      <xdr:spPr>
        <a:xfrm>
          <a:off x="2190750" y="4546600"/>
          <a:ext cx="368300" cy="4000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d2</a:t>
          </a:r>
        </a:p>
      </xdr:txBody>
    </xdr:sp>
    <xdr:clientData/>
  </xdr:twoCellAnchor>
  <xdr:twoCellAnchor>
    <xdr:from>
      <xdr:col>4</xdr:col>
      <xdr:colOff>400050</xdr:colOff>
      <xdr:row>22</xdr:row>
      <xdr:rowOff>127000</xdr:rowOff>
    </xdr:from>
    <xdr:to>
      <xdr:col>5</xdr:col>
      <xdr:colOff>25400</xdr:colOff>
      <xdr:row>24</xdr:row>
      <xdr:rowOff>158750</xdr:rowOff>
    </xdr:to>
    <xdr:sp macro="" textlink="">
      <xdr:nvSpPr>
        <xdr:cNvPr id="12" name="Callout: Up Arrow 11">
          <a:extLst>
            <a:ext uri="{FF2B5EF4-FFF2-40B4-BE49-F238E27FC236}">
              <a16:creationId xmlns:a16="http://schemas.microsoft.com/office/drawing/2014/main" xmlns="" id="{2265E749-EC9C-455F-A028-B56DB41E0882}"/>
            </a:ext>
          </a:extLst>
        </xdr:cNvPr>
        <xdr:cNvSpPr/>
      </xdr:nvSpPr>
      <xdr:spPr>
        <a:xfrm>
          <a:off x="3371850" y="4546600"/>
          <a:ext cx="368300" cy="4000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e2</a:t>
          </a:r>
        </a:p>
      </xdr:txBody>
    </xdr:sp>
    <xdr:clientData/>
  </xdr:twoCellAnchor>
  <xdr:twoCellAnchor>
    <xdr:from>
      <xdr:col>5</xdr:col>
      <xdr:colOff>409575</xdr:colOff>
      <xdr:row>22</xdr:row>
      <xdr:rowOff>127000</xdr:rowOff>
    </xdr:from>
    <xdr:to>
      <xdr:col>6</xdr:col>
      <xdr:colOff>34925</xdr:colOff>
      <xdr:row>24</xdr:row>
      <xdr:rowOff>158750</xdr:rowOff>
    </xdr:to>
    <xdr:sp macro="" textlink="">
      <xdr:nvSpPr>
        <xdr:cNvPr id="13" name="Callout: Up Arrow 12">
          <a:extLst>
            <a:ext uri="{FF2B5EF4-FFF2-40B4-BE49-F238E27FC236}">
              <a16:creationId xmlns:a16="http://schemas.microsoft.com/office/drawing/2014/main" xmlns="" id="{3B9FA76B-FE95-4C16-92EA-0898627BCAEC}"/>
            </a:ext>
          </a:extLst>
        </xdr:cNvPr>
        <xdr:cNvSpPr/>
      </xdr:nvSpPr>
      <xdr:spPr>
        <a:xfrm>
          <a:off x="4124325" y="4546600"/>
          <a:ext cx="368300" cy="4000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f2</a:t>
          </a:r>
        </a:p>
      </xdr:txBody>
    </xdr:sp>
    <xdr:clientData/>
  </xdr:twoCellAnchor>
  <xdr:twoCellAnchor>
    <xdr:from>
      <xdr:col>3</xdr:col>
      <xdr:colOff>692150</xdr:colOff>
      <xdr:row>20</xdr:row>
      <xdr:rowOff>57150</xdr:rowOff>
    </xdr:from>
    <xdr:to>
      <xdr:col>4</xdr:col>
      <xdr:colOff>317500</xdr:colOff>
      <xdr:row>22</xdr:row>
      <xdr:rowOff>76200</xdr:rowOff>
    </xdr:to>
    <xdr:sp macro="" textlink="">
      <xdr:nvSpPr>
        <xdr:cNvPr id="14" name="Callout: Up Arrow 13">
          <a:extLst>
            <a:ext uri="{FF2B5EF4-FFF2-40B4-BE49-F238E27FC236}">
              <a16:creationId xmlns:a16="http://schemas.microsoft.com/office/drawing/2014/main" xmlns="" id="{701496D0-78D1-44D7-9900-64CCD75CCFCD}"/>
            </a:ext>
          </a:extLst>
        </xdr:cNvPr>
        <xdr:cNvSpPr/>
      </xdr:nvSpPr>
      <xdr:spPr>
        <a:xfrm>
          <a:off x="2921000" y="50546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b2</a:t>
          </a:r>
        </a:p>
      </xdr:txBody>
    </xdr:sp>
    <xdr:clientData/>
  </xdr:twoCellAnchor>
  <xdr:twoCellAnchor>
    <xdr:from>
      <xdr:col>4</xdr:col>
      <xdr:colOff>701675</xdr:colOff>
      <xdr:row>20</xdr:row>
      <xdr:rowOff>57150</xdr:rowOff>
    </xdr:from>
    <xdr:to>
      <xdr:col>5</xdr:col>
      <xdr:colOff>327025</xdr:colOff>
      <xdr:row>22</xdr:row>
      <xdr:rowOff>76200</xdr:rowOff>
    </xdr:to>
    <xdr:sp macro="" textlink="">
      <xdr:nvSpPr>
        <xdr:cNvPr id="15" name="Callout: Up Arrow 14">
          <a:extLst>
            <a:ext uri="{FF2B5EF4-FFF2-40B4-BE49-F238E27FC236}">
              <a16:creationId xmlns:a16="http://schemas.microsoft.com/office/drawing/2014/main" xmlns="" id="{668D9EB3-2791-4DA0-B100-A87F6788184C}"/>
            </a:ext>
          </a:extLst>
        </xdr:cNvPr>
        <xdr:cNvSpPr/>
      </xdr:nvSpPr>
      <xdr:spPr>
        <a:xfrm>
          <a:off x="3673475" y="50546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c21</a:t>
          </a:r>
        </a:p>
      </xdr:txBody>
    </xdr:sp>
    <xdr:clientData/>
  </xdr:twoCellAnchor>
  <xdr:twoCellAnchor>
    <xdr:from>
      <xdr:col>1</xdr:col>
      <xdr:colOff>76200</xdr:colOff>
      <xdr:row>30</xdr:row>
      <xdr:rowOff>82550</xdr:rowOff>
    </xdr:from>
    <xdr:to>
      <xdr:col>1</xdr:col>
      <xdr:colOff>444500</xdr:colOff>
      <xdr:row>32</xdr:row>
      <xdr:rowOff>88900</xdr:rowOff>
    </xdr:to>
    <xdr:sp macro="" textlink="">
      <xdr:nvSpPr>
        <xdr:cNvPr id="16" name="Callout: Up Arrow 15">
          <a:extLst>
            <a:ext uri="{FF2B5EF4-FFF2-40B4-BE49-F238E27FC236}">
              <a16:creationId xmlns:a16="http://schemas.microsoft.com/office/drawing/2014/main" xmlns="" id="{05B73614-8728-478A-8629-A1880CF2AA87}"/>
            </a:ext>
          </a:extLst>
        </xdr:cNvPr>
        <xdr:cNvSpPr/>
      </xdr:nvSpPr>
      <xdr:spPr>
        <a:xfrm>
          <a:off x="819150" y="6159500"/>
          <a:ext cx="368300" cy="3746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a31</a:t>
          </a:r>
        </a:p>
      </xdr:txBody>
    </xdr:sp>
    <xdr:clientData/>
  </xdr:twoCellAnchor>
  <xdr:twoCellAnchor>
    <xdr:from>
      <xdr:col>2</xdr:col>
      <xdr:colOff>76200</xdr:colOff>
      <xdr:row>31</xdr:row>
      <xdr:rowOff>88900</xdr:rowOff>
    </xdr:from>
    <xdr:to>
      <xdr:col>2</xdr:col>
      <xdr:colOff>444500</xdr:colOff>
      <xdr:row>33</xdr:row>
      <xdr:rowOff>107950</xdr:rowOff>
    </xdr:to>
    <xdr:sp macro="" textlink="">
      <xdr:nvSpPr>
        <xdr:cNvPr id="17" name="Callout: Up Arrow 16">
          <a:extLst>
            <a:ext uri="{FF2B5EF4-FFF2-40B4-BE49-F238E27FC236}">
              <a16:creationId xmlns:a16="http://schemas.microsoft.com/office/drawing/2014/main" xmlns="" id="{34EF01F6-1838-4C35-BAD2-F85A215F20A2}"/>
            </a:ext>
          </a:extLst>
        </xdr:cNvPr>
        <xdr:cNvSpPr/>
      </xdr:nvSpPr>
      <xdr:spPr>
        <a:xfrm>
          <a:off x="1562100" y="63500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d31</a:t>
          </a:r>
        </a:p>
      </xdr:txBody>
    </xdr:sp>
    <xdr:clientData/>
  </xdr:twoCellAnchor>
  <xdr:twoCellAnchor>
    <xdr:from>
      <xdr:col>3</xdr:col>
      <xdr:colOff>361950</xdr:colOff>
      <xdr:row>31</xdr:row>
      <xdr:rowOff>88900</xdr:rowOff>
    </xdr:from>
    <xdr:to>
      <xdr:col>3</xdr:col>
      <xdr:colOff>730250</xdr:colOff>
      <xdr:row>33</xdr:row>
      <xdr:rowOff>107950</xdr:rowOff>
    </xdr:to>
    <xdr:sp macro="" textlink="">
      <xdr:nvSpPr>
        <xdr:cNvPr id="18" name="Callout: Up Arrow 17">
          <a:extLst>
            <a:ext uri="{FF2B5EF4-FFF2-40B4-BE49-F238E27FC236}">
              <a16:creationId xmlns:a16="http://schemas.microsoft.com/office/drawing/2014/main" xmlns="" id="{3B532C4A-4FD6-44AE-BE14-F274BCCF65FF}"/>
            </a:ext>
          </a:extLst>
        </xdr:cNvPr>
        <xdr:cNvSpPr/>
      </xdr:nvSpPr>
      <xdr:spPr>
        <a:xfrm>
          <a:off x="2590800" y="63500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e31</a:t>
          </a:r>
        </a:p>
      </xdr:txBody>
    </xdr:sp>
    <xdr:clientData/>
  </xdr:twoCellAnchor>
  <xdr:twoCellAnchor>
    <xdr:from>
      <xdr:col>4</xdr:col>
      <xdr:colOff>371475</xdr:colOff>
      <xdr:row>31</xdr:row>
      <xdr:rowOff>88900</xdr:rowOff>
    </xdr:from>
    <xdr:to>
      <xdr:col>4</xdr:col>
      <xdr:colOff>739775</xdr:colOff>
      <xdr:row>33</xdr:row>
      <xdr:rowOff>107950</xdr:rowOff>
    </xdr:to>
    <xdr:sp macro="" textlink="">
      <xdr:nvSpPr>
        <xdr:cNvPr id="19" name="Callout: Up Arrow 18">
          <a:extLst>
            <a:ext uri="{FF2B5EF4-FFF2-40B4-BE49-F238E27FC236}">
              <a16:creationId xmlns:a16="http://schemas.microsoft.com/office/drawing/2014/main" xmlns="" id="{E0F2C0D3-51BE-44E4-A1D8-3B8514E68573}"/>
            </a:ext>
          </a:extLst>
        </xdr:cNvPr>
        <xdr:cNvSpPr/>
      </xdr:nvSpPr>
      <xdr:spPr>
        <a:xfrm>
          <a:off x="3343275" y="63500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f31</a:t>
          </a:r>
        </a:p>
      </xdr:txBody>
    </xdr:sp>
    <xdr:clientData/>
  </xdr:twoCellAnchor>
  <xdr:twoCellAnchor>
    <xdr:from>
      <xdr:col>2</xdr:col>
      <xdr:colOff>679450</xdr:colOff>
      <xdr:row>30</xdr:row>
      <xdr:rowOff>82550</xdr:rowOff>
    </xdr:from>
    <xdr:to>
      <xdr:col>3</xdr:col>
      <xdr:colOff>304800</xdr:colOff>
      <xdr:row>32</xdr:row>
      <xdr:rowOff>88900</xdr:rowOff>
    </xdr:to>
    <xdr:sp macro="" textlink="">
      <xdr:nvSpPr>
        <xdr:cNvPr id="20" name="Callout: Up Arrow 19">
          <a:extLst>
            <a:ext uri="{FF2B5EF4-FFF2-40B4-BE49-F238E27FC236}">
              <a16:creationId xmlns:a16="http://schemas.microsoft.com/office/drawing/2014/main" xmlns="" id="{4E1E1B2F-C842-4A23-8EED-86EAE26DEB6F}"/>
            </a:ext>
          </a:extLst>
        </xdr:cNvPr>
        <xdr:cNvSpPr/>
      </xdr:nvSpPr>
      <xdr:spPr>
        <a:xfrm>
          <a:off x="2165350" y="6159500"/>
          <a:ext cx="368300" cy="3746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b31</a:t>
          </a:r>
        </a:p>
      </xdr:txBody>
    </xdr:sp>
    <xdr:clientData/>
  </xdr:twoCellAnchor>
  <xdr:twoCellAnchor>
    <xdr:from>
      <xdr:col>3</xdr:col>
      <xdr:colOff>688975</xdr:colOff>
      <xdr:row>30</xdr:row>
      <xdr:rowOff>82550</xdr:rowOff>
    </xdr:from>
    <xdr:to>
      <xdr:col>4</xdr:col>
      <xdr:colOff>314325</xdr:colOff>
      <xdr:row>32</xdr:row>
      <xdr:rowOff>88900</xdr:rowOff>
    </xdr:to>
    <xdr:sp macro="" textlink="">
      <xdr:nvSpPr>
        <xdr:cNvPr id="21" name="Callout: Up Arrow 20">
          <a:extLst>
            <a:ext uri="{FF2B5EF4-FFF2-40B4-BE49-F238E27FC236}">
              <a16:creationId xmlns:a16="http://schemas.microsoft.com/office/drawing/2014/main" xmlns="" id="{3DFD5343-30DA-4D23-9849-19B3274C1441}"/>
            </a:ext>
          </a:extLst>
        </xdr:cNvPr>
        <xdr:cNvSpPr/>
      </xdr:nvSpPr>
      <xdr:spPr>
        <a:xfrm>
          <a:off x="2917825" y="6159500"/>
          <a:ext cx="368300" cy="3746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c31</a:t>
          </a:r>
        </a:p>
      </xdr:txBody>
    </xdr:sp>
    <xdr:clientData/>
  </xdr:twoCellAnchor>
  <xdr:twoCellAnchor>
    <xdr:from>
      <xdr:col>1</xdr:col>
      <xdr:colOff>95250</xdr:colOff>
      <xdr:row>39</xdr:row>
      <xdr:rowOff>82550</xdr:rowOff>
    </xdr:from>
    <xdr:to>
      <xdr:col>1</xdr:col>
      <xdr:colOff>463550</xdr:colOff>
      <xdr:row>41</xdr:row>
      <xdr:rowOff>101600</xdr:rowOff>
    </xdr:to>
    <xdr:sp macro="" textlink="">
      <xdr:nvSpPr>
        <xdr:cNvPr id="22" name="Callout: Up Arrow 21">
          <a:extLst>
            <a:ext uri="{FF2B5EF4-FFF2-40B4-BE49-F238E27FC236}">
              <a16:creationId xmlns:a16="http://schemas.microsoft.com/office/drawing/2014/main" xmlns="" id="{A03987C0-3BF6-4FE5-BF37-C8E0EEB17357}"/>
            </a:ext>
          </a:extLst>
        </xdr:cNvPr>
        <xdr:cNvSpPr/>
      </xdr:nvSpPr>
      <xdr:spPr>
        <a:xfrm>
          <a:off x="838200" y="106553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a32</a:t>
          </a:r>
        </a:p>
      </xdr:txBody>
    </xdr:sp>
    <xdr:clientData/>
  </xdr:twoCellAnchor>
  <xdr:twoCellAnchor>
    <xdr:from>
      <xdr:col>2</xdr:col>
      <xdr:colOff>95250</xdr:colOff>
      <xdr:row>40</xdr:row>
      <xdr:rowOff>88900</xdr:rowOff>
    </xdr:from>
    <xdr:to>
      <xdr:col>2</xdr:col>
      <xdr:colOff>463550</xdr:colOff>
      <xdr:row>42</xdr:row>
      <xdr:rowOff>107950</xdr:rowOff>
    </xdr:to>
    <xdr:sp macro="" textlink="">
      <xdr:nvSpPr>
        <xdr:cNvPr id="23" name="Callout: Up Arrow 22">
          <a:extLst>
            <a:ext uri="{FF2B5EF4-FFF2-40B4-BE49-F238E27FC236}">
              <a16:creationId xmlns:a16="http://schemas.microsoft.com/office/drawing/2014/main" xmlns="" id="{93C409DD-E358-46C2-8601-DB67CD5194DE}"/>
            </a:ext>
          </a:extLst>
        </xdr:cNvPr>
        <xdr:cNvSpPr/>
      </xdr:nvSpPr>
      <xdr:spPr>
        <a:xfrm>
          <a:off x="1581150" y="81915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d32</a:t>
          </a:r>
        </a:p>
      </xdr:txBody>
    </xdr:sp>
    <xdr:clientData/>
  </xdr:twoCellAnchor>
  <xdr:twoCellAnchor>
    <xdr:from>
      <xdr:col>3</xdr:col>
      <xdr:colOff>374650</xdr:colOff>
      <xdr:row>40</xdr:row>
      <xdr:rowOff>88900</xdr:rowOff>
    </xdr:from>
    <xdr:to>
      <xdr:col>4</xdr:col>
      <xdr:colOff>0</xdr:colOff>
      <xdr:row>42</xdr:row>
      <xdr:rowOff>107950</xdr:rowOff>
    </xdr:to>
    <xdr:sp macro="" textlink="">
      <xdr:nvSpPr>
        <xdr:cNvPr id="24" name="Callout: Up Arrow 23">
          <a:extLst>
            <a:ext uri="{FF2B5EF4-FFF2-40B4-BE49-F238E27FC236}">
              <a16:creationId xmlns:a16="http://schemas.microsoft.com/office/drawing/2014/main" xmlns="" id="{D83A146E-22D8-4551-863F-5946CA18DBFA}"/>
            </a:ext>
          </a:extLst>
        </xdr:cNvPr>
        <xdr:cNvSpPr/>
      </xdr:nvSpPr>
      <xdr:spPr>
        <a:xfrm>
          <a:off x="2603500" y="81915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e32</a:t>
          </a:r>
        </a:p>
      </xdr:txBody>
    </xdr:sp>
    <xdr:clientData/>
  </xdr:twoCellAnchor>
  <xdr:twoCellAnchor>
    <xdr:from>
      <xdr:col>4</xdr:col>
      <xdr:colOff>384175</xdr:colOff>
      <xdr:row>40</xdr:row>
      <xdr:rowOff>88900</xdr:rowOff>
    </xdr:from>
    <xdr:to>
      <xdr:col>5</xdr:col>
      <xdr:colOff>9525</xdr:colOff>
      <xdr:row>42</xdr:row>
      <xdr:rowOff>107950</xdr:rowOff>
    </xdr:to>
    <xdr:sp macro="" textlink="">
      <xdr:nvSpPr>
        <xdr:cNvPr id="25" name="Callout: Up Arrow 24">
          <a:extLst>
            <a:ext uri="{FF2B5EF4-FFF2-40B4-BE49-F238E27FC236}">
              <a16:creationId xmlns:a16="http://schemas.microsoft.com/office/drawing/2014/main" xmlns="" id="{9BA6A66A-6901-4BF9-B2E0-6CBA664BEE16}"/>
            </a:ext>
          </a:extLst>
        </xdr:cNvPr>
        <xdr:cNvSpPr/>
      </xdr:nvSpPr>
      <xdr:spPr>
        <a:xfrm>
          <a:off x="3355975" y="81915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f32</a:t>
          </a:r>
        </a:p>
      </xdr:txBody>
    </xdr:sp>
    <xdr:clientData/>
  </xdr:twoCellAnchor>
  <xdr:twoCellAnchor>
    <xdr:from>
      <xdr:col>2</xdr:col>
      <xdr:colOff>698500</xdr:colOff>
      <xdr:row>39</xdr:row>
      <xdr:rowOff>82550</xdr:rowOff>
    </xdr:from>
    <xdr:to>
      <xdr:col>3</xdr:col>
      <xdr:colOff>323850</xdr:colOff>
      <xdr:row>41</xdr:row>
      <xdr:rowOff>101600</xdr:rowOff>
    </xdr:to>
    <xdr:sp macro="" textlink="">
      <xdr:nvSpPr>
        <xdr:cNvPr id="26" name="Callout: Up Arrow 25">
          <a:extLst>
            <a:ext uri="{FF2B5EF4-FFF2-40B4-BE49-F238E27FC236}">
              <a16:creationId xmlns:a16="http://schemas.microsoft.com/office/drawing/2014/main" xmlns="" id="{63F25293-118F-478B-B67B-08AAF8DC42C9}"/>
            </a:ext>
          </a:extLst>
        </xdr:cNvPr>
        <xdr:cNvSpPr/>
      </xdr:nvSpPr>
      <xdr:spPr>
        <a:xfrm>
          <a:off x="2184400" y="106553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b32</a:t>
          </a:r>
        </a:p>
      </xdr:txBody>
    </xdr:sp>
    <xdr:clientData/>
  </xdr:twoCellAnchor>
  <xdr:twoCellAnchor>
    <xdr:from>
      <xdr:col>3</xdr:col>
      <xdr:colOff>708025</xdr:colOff>
      <xdr:row>39</xdr:row>
      <xdr:rowOff>82550</xdr:rowOff>
    </xdr:from>
    <xdr:to>
      <xdr:col>4</xdr:col>
      <xdr:colOff>333375</xdr:colOff>
      <xdr:row>41</xdr:row>
      <xdr:rowOff>101600</xdr:rowOff>
    </xdr:to>
    <xdr:sp macro="" textlink="">
      <xdr:nvSpPr>
        <xdr:cNvPr id="27" name="Callout: Up Arrow 26">
          <a:extLst>
            <a:ext uri="{FF2B5EF4-FFF2-40B4-BE49-F238E27FC236}">
              <a16:creationId xmlns:a16="http://schemas.microsoft.com/office/drawing/2014/main" xmlns="" id="{E004613F-1E53-4CDE-A5DD-0494F0F345A0}"/>
            </a:ext>
          </a:extLst>
        </xdr:cNvPr>
        <xdr:cNvSpPr/>
      </xdr:nvSpPr>
      <xdr:spPr>
        <a:xfrm>
          <a:off x="2936875" y="106553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900"/>
            <a:t>c32</a:t>
          </a:r>
        </a:p>
      </xdr:txBody>
    </xdr:sp>
    <xdr:clientData/>
  </xdr:twoCellAnchor>
  <xdr:twoCellAnchor>
    <xdr:from>
      <xdr:col>1</xdr:col>
      <xdr:colOff>6350</xdr:colOff>
      <xdr:row>48</xdr:row>
      <xdr:rowOff>88900</xdr:rowOff>
    </xdr:from>
    <xdr:to>
      <xdr:col>1</xdr:col>
      <xdr:colOff>374650</xdr:colOff>
      <xdr:row>50</xdr:row>
      <xdr:rowOff>107950</xdr:rowOff>
    </xdr:to>
    <xdr:sp macro="" textlink="">
      <xdr:nvSpPr>
        <xdr:cNvPr id="28" name="Callout: Up Arrow 27">
          <a:extLst>
            <a:ext uri="{FF2B5EF4-FFF2-40B4-BE49-F238E27FC236}">
              <a16:creationId xmlns:a16="http://schemas.microsoft.com/office/drawing/2014/main" xmlns="" id="{A6537FBC-A138-4B7E-88DE-15302431BF30}"/>
            </a:ext>
          </a:extLst>
        </xdr:cNvPr>
        <xdr:cNvSpPr/>
      </xdr:nvSpPr>
      <xdr:spPr>
        <a:xfrm>
          <a:off x="749300" y="134493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a4</a:t>
          </a:r>
        </a:p>
      </xdr:txBody>
    </xdr:sp>
    <xdr:clientData/>
  </xdr:twoCellAnchor>
  <xdr:twoCellAnchor>
    <xdr:from>
      <xdr:col>4</xdr:col>
      <xdr:colOff>12700</xdr:colOff>
      <xdr:row>51</xdr:row>
      <xdr:rowOff>88900</xdr:rowOff>
    </xdr:from>
    <xdr:to>
      <xdr:col>4</xdr:col>
      <xdr:colOff>381000</xdr:colOff>
      <xdr:row>53</xdr:row>
      <xdr:rowOff>107950</xdr:rowOff>
    </xdr:to>
    <xdr:sp macro="" textlink="">
      <xdr:nvSpPr>
        <xdr:cNvPr id="29" name="Callout: Up Arrow 28">
          <a:extLst>
            <a:ext uri="{FF2B5EF4-FFF2-40B4-BE49-F238E27FC236}">
              <a16:creationId xmlns:a16="http://schemas.microsoft.com/office/drawing/2014/main" xmlns="" id="{140DA561-8F8B-47C5-9587-95E01437D601}"/>
            </a:ext>
          </a:extLst>
        </xdr:cNvPr>
        <xdr:cNvSpPr/>
      </xdr:nvSpPr>
      <xdr:spPr>
        <a:xfrm>
          <a:off x="2984500" y="140017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d4</a:t>
          </a:r>
        </a:p>
      </xdr:txBody>
    </xdr:sp>
    <xdr:clientData/>
  </xdr:twoCellAnchor>
  <xdr:twoCellAnchor>
    <xdr:from>
      <xdr:col>7</xdr:col>
      <xdr:colOff>0</xdr:colOff>
      <xdr:row>51</xdr:row>
      <xdr:rowOff>88900</xdr:rowOff>
    </xdr:from>
    <xdr:to>
      <xdr:col>7</xdr:col>
      <xdr:colOff>368300</xdr:colOff>
      <xdr:row>53</xdr:row>
      <xdr:rowOff>107950</xdr:rowOff>
    </xdr:to>
    <xdr:sp macro="" textlink="">
      <xdr:nvSpPr>
        <xdr:cNvPr id="30" name="Callout: Up Arrow 29">
          <a:extLst>
            <a:ext uri="{FF2B5EF4-FFF2-40B4-BE49-F238E27FC236}">
              <a16:creationId xmlns:a16="http://schemas.microsoft.com/office/drawing/2014/main" xmlns="" id="{3382BEDB-151D-499B-8CF4-F4FE75E0FCE1}"/>
            </a:ext>
          </a:extLst>
        </xdr:cNvPr>
        <xdr:cNvSpPr/>
      </xdr:nvSpPr>
      <xdr:spPr>
        <a:xfrm>
          <a:off x="5200650" y="140017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e4</a:t>
          </a:r>
        </a:p>
      </xdr:txBody>
    </xdr:sp>
    <xdr:clientData/>
  </xdr:twoCellAnchor>
  <xdr:twoCellAnchor>
    <xdr:from>
      <xdr:col>8</xdr:col>
      <xdr:colOff>9525</xdr:colOff>
      <xdr:row>51</xdr:row>
      <xdr:rowOff>88900</xdr:rowOff>
    </xdr:from>
    <xdr:to>
      <xdr:col>8</xdr:col>
      <xdr:colOff>377825</xdr:colOff>
      <xdr:row>53</xdr:row>
      <xdr:rowOff>107950</xdr:rowOff>
    </xdr:to>
    <xdr:sp macro="" textlink="">
      <xdr:nvSpPr>
        <xdr:cNvPr id="31" name="Callout: Up Arrow 30">
          <a:extLst>
            <a:ext uri="{FF2B5EF4-FFF2-40B4-BE49-F238E27FC236}">
              <a16:creationId xmlns:a16="http://schemas.microsoft.com/office/drawing/2014/main" xmlns="" id="{F4AE955E-C4D4-4D3D-8F5C-74406412B464}"/>
            </a:ext>
          </a:extLst>
        </xdr:cNvPr>
        <xdr:cNvSpPr/>
      </xdr:nvSpPr>
      <xdr:spPr>
        <a:xfrm>
          <a:off x="5953125" y="140017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f4</a:t>
          </a:r>
        </a:p>
      </xdr:txBody>
    </xdr:sp>
    <xdr:clientData/>
  </xdr:twoCellAnchor>
  <xdr:twoCellAnchor>
    <xdr:from>
      <xdr:col>7</xdr:col>
      <xdr:colOff>0</xdr:colOff>
      <xdr:row>48</xdr:row>
      <xdr:rowOff>88900</xdr:rowOff>
    </xdr:from>
    <xdr:to>
      <xdr:col>7</xdr:col>
      <xdr:colOff>368300</xdr:colOff>
      <xdr:row>50</xdr:row>
      <xdr:rowOff>107950</xdr:rowOff>
    </xdr:to>
    <xdr:sp macro="" textlink="">
      <xdr:nvSpPr>
        <xdr:cNvPr id="32" name="Callout: Up Arrow 31">
          <a:extLst>
            <a:ext uri="{FF2B5EF4-FFF2-40B4-BE49-F238E27FC236}">
              <a16:creationId xmlns:a16="http://schemas.microsoft.com/office/drawing/2014/main" xmlns="" id="{069B05D6-D4B7-4107-B366-4A501129FB95}"/>
            </a:ext>
          </a:extLst>
        </xdr:cNvPr>
        <xdr:cNvSpPr/>
      </xdr:nvSpPr>
      <xdr:spPr>
        <a:xfrm>
          <a:off x="5200650" y="134493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b4</a:t>
          </a:r>
        </a:p>
      </xdr:txBody>
    </xdr:sp>
    <xdr:clientData/>
  </xdr:twoCellAnchor>
  <xdr:twoCellAnchor>
    <xdr:from>
      <xdr:col>8</xdr:col>
      <xdr:colOff>9525</xdr:colOff>
      <xdr:row>48</xdr:row>
      <xdr:rowOff>88900</xdr:rowOff>
    </xdr:from>
    <xdr:to>
      <xdr:col>8</xdr:col>
      <xdr:colOff>377825</xdr:colOff>
      <xdr:row>50</xdr:row>
      <xdr:rowOff>107950</xdr:rowOff>
    </xdr:to>
    <xdr:sp macro="" textlink="">
      <xdr:nvSpPr>
        <xdr:cNvPr id="33" name="Callout: Up Arrow 32">
          <a:extLst>
            <a:ext uri="{FF2B5EF4-FFF2-40B4-BE49-F238E27FC236}">
              <a16:creationId xmlns:a16="http://schemas.microsoft.com/office/drawing/2014/main" xmlns="" id="{C15CCB99-84A3-407F-96A7-0DB5F2E4DC4F}"/>
            </a:ext>
          </a:extLst>
        </xdr:cNvPr>
        <xdr:cNvSpPr/>
      </xdr:nvSpPr>
      <xdr:spPr>
        <a:xfrm>
          <a:off x="5953125" y="134493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c41</a:t>
          </a:r>
        </a:p>
      </xdr:txBody>
    </xdr:sp>
    <xdr:clientData/>
  </xdr:twoCellAnchor>
  <xdr:twoCellAnchor>
    <xdr:from>
      <xdr:col>1</xdr:col>
      <xdr:colOff>31750</xdr:colOff>
      <xdr:row>61</xdr:row>
      <xdr:rowOff>95250</xdr:rowOff>
    </xdr:from>
    <xdr:to>
      <xdr:col>1</xdr:col>
      <xdr:colOff>400050</xdr:colOff>
      <xdr:row>63</xdr:row>
      <xdr:rowOff>114300</xdr:rowOff>
    </xdr:to>
    <xdr:sp macro="" textlink="">
      <xdr:nvSpPr>
        <xdr:cNvPr id="34" name="Callout: Up Arrow 33">
          <a:extLst>
            <a:ext uri="{FF2B5EF4-FFF2-40B4-BE49-F238E27FC236}">
              <a16:creationId xmlns:a16="http://schemas.microsoft.com/office/drawing/2014/main" xmlns="" id="{90F6E62A-DCAD-4D38-9949-C427408E7CF6}"/>
            </a:ext>
          </a:extLst>
        </xdr:cNvPr>
        <xdr:cNvSpPr/>
      </xdr:nvSpPr>
      <xdr:spPr>
        <a:xfrm>
          <a:off x="774700" y="169862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a5</a:t>
          </a:r>
        </a:p>
      </xdr:txBody>
    </xdr:sp>
    <xdr:clientData/>
  </xdr:twoCellAnchor>
  <xdr:twoCellAnchor>
    <xdr:from>
      <xdr:col>3</xdr:col>
      <xdr:colOff>31750</xdr:colOff>
      <xdr:row>63</xdr:row>
      <xdr:rowOff>88900</xdr:rowOff>
    </xdr:from>
    <xdr:to>
      <xdr:col>3</xdr:col>
      <xdr:colOff>400050</xdr:colOff>
      <xdr:row>65</xdr:row>
      <xdr:rowOff>107950</xdr:rowOff>
    </xdr:to>
    <xdr:sp macro="" textlink="">
      <xdr:nvSpPr>
        <xdr:cNvPr id="35" name="Callout: Up Arrow 34">
          <a:extLst>
            <a:ext uri="{FF2B5EF4-FFF2-40B4-BE49-F238E27FC236}">
              <a16:creationId xmlns:a16="http://schemas.microsoft.com/office/drawing/2014/main" xmlns="" id="{1F223FF6-A3C7-45F9-8C62-06348CFB416D}"/>
            </a:ext>
          </a:extLst>
        </xdr:cNvPr>
        <xdr:cNvSpPr/>
      </xdr:nvSpPr>
      <xdr:spPr>
        <a:xfrm>
          <a:off x="2260600" y="173482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d5</a:t>
          </a:r>
        </a:p>
      </xdr:txBody>
    </xdr:sp>
    <xdr:clientData/>
  </xdr:twoCellAnchor>
  <xdr:twoCellAnchor>
    <xdr:from>
      <xdr:col>5</xdr:col>
      <xdr:colOff>387350</xdr:colOff>
      <xdr:row>63</xdr:row>
      <xdr:rowOff>88900</xdr:rowOff>
    </xdr:from>
    <xdr:to>
      <xdr:col>6</xdr:col>
      <xdr:colOff>12700</xdr:colOff>
      <xdr:row>65</xdr:row>
      <xdr:rowOff>107950</xdr:rowOff>
    </xdr:to>
    <xdr:sp macro="" textlink="">
      <xdr:nvSpPr>
        <xdr:cNvPr id="36" name="Callout: Up Arrow 35">
          <a:extLst>
            <a:ext uri="{FF2B5EF4-FFF2-40B4-BE49-F238E27FC236}">
              <a16:creationId xmlns:a16="http://schemas.microsoft.com/office/drawing/2014/main" xmlns="" id="{3EC339BC-72C7-4F3C-97C2-1615D75C57AE}"/>
            </a:ext>
          </a:extLst>
        </xdr:cNvPr>
        <xdr:cNvSpPr/>
      </xdr:nvSpPr>
      <xdr:spPr>
        <a:xfrm>
          <a:off x="4102100" y="173482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e5</a:t>
          </a:r>
        </a:p>
      </xdr:txBody>
    </xdr:sp>
    <xdr:clientData/>
  </xdr:twoCellAnchor>
  <xdr:twoCellAnchor>
    <xdr:from>
      <xdr:col>6</xdr:col>
      <xdr:colOff>396875</xdr:colOff>
      <xdr:row>63</xdr:row>
      <xdr:rowOff>88900</xdr:rowOff>
    </xdr:from>
    <xdr:to>
      <xdr:col>7</xdr:col>
      <xdr:colOff>22225</xdr:colOff>
      <xdr:row>65</xdr:row>
      <xdr:rowOff>107950</xdr:rowOff>
    </xdr:to>
    <xdr:sp macro="" textlink="">
      <xdr:nvSpPr>
        <xdr:cNvPr id="37" name="Callout: Up Arrow 36">
          <a:extLst>
            <a:ext uri="{FF2B5EF4-FFF2-40B4-BE49-F238E27FC236}">
              <a16:creationId xmlns:a16="http://schemas.microsoft.com/office/drawing/2014/main" xmlns="" id="{0A5068AC-5DA5-4C09-A3D7-CEAB1D8AF1C6}"/>
            </a:ext>
          </a:extLst>
        </xdr:cNvPr>
        <xdr:cNvSpPr/>
      </xdr:nvSpPr>
      <xdr:spPr>
        <a:xfrm>
          <a:off x="4854575" y="173482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f5</a:t>
          </a:r>
        </a:p>
      </xdr:txBody>
    </xdr:sp>
    <xdr:clientData/>
  </xdr:twoCellAnchor>
  <xdr:twoCellAnchor>
    <xdr:from>
      <xdr:col>4</xdr:col>
      <xdr:colOff>641350</xdr:colOff>
      <xdr:row>61</xdr:row>
      <xdr:rowOff>95250</xdr:rowOff>
    </xdr:from>
    <xdr:to>
      <xdr:col>5</xdr:col>
      <xdr:colOff>266700</xdr:colOff>
      <xdr:row>63</xdr:row>
      <xdr:rowOff>114300</xdr:rowOff>
    </xdr:to>
    <xdr:sp macro="" textlink="">
      <xdr:nvSpPr>
        <xdr:cNvPr id="38" name="Callout: Up Arrow 37">
          <a:extLst>
            <a:ext uri="{FF2B5EF4-FFF2-40B4-BE49-F238E27FC236}">
              <a16:creationId xmlns:a16="http://schemas.microsoft.com/office/drawing/2014/main" xmlns="" id="{C8A4A771-DEBA-4E40-92EA-4A5691FEF491}"/>
            </a:ext>
          </a:extLst>
        </xdr:cNvPr>
        <xdr:cNvSpPr/>
      </xdr:nvSpPr>
      <xdr:spPr>
        <a:xfrm>
          <a:off x="3613150" y="169862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b5</a:t>
          </a:r>
        </a:p>
      </xdr:txBody>
    </xdr:sp>
    <xdr:clientData/>
  </xdr:twoCellAnchor>
  <xdr:twoCellAnchor>
    <xdr:from>
      <xdr:col>5</xdr:col>
      <xdr:colOff>650875</xdr:colOff>
      <xdr:row>61</xdr:row>
      <xdr:rowOff>95250</xdr:rowOff>
    </xdr:from>
    <xdr:to>
      <xdr:col>6</xdr:col>
      <xdr:colOff>276225</xdr:colOff>
      <xdr:row>63</xdr:row>
      <xdr:rowOff>114300</xdr:rowOff>
    </xdr:to>
    <xdr:sp macro="" textlink="">
      <xdr:nvSpPr>
        <xdr:cNvPr id="39" name="Callout: Up Arrow 38">
          <a:extLst>
            <a:ext uri="{FF2B5EF4-FFF2-40B4-BE49-F238E27FC236}">
              <a16:creationId xmlns:a16="http://schemas.microsoft.com/office/drawing/2014/main" xmlns="" id="{9D72D871-D0BB-41F1-836B-FE42D36199B1}"/>
            </a:ext>
          </a:extLst>
        </xdr:cNvPr>
        <xdr:cNvSpPr/>
      </xdr:nvSpPr>
      <xdr:spPr>
        <a:xfrm>
          <a:off x="4365625" y="1698625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c51</a:t>
          </a:r>
        </a:p>
      </xdr:txBody>
    </xdr:sp>
    <xdr:clientData/>
  </xdr:twoCellAnchor>
  <xdr:twoCellAnchor>
    <xdr:from>
      <xdr:col>1</xdr:col>
      <xdr:colOff>0</xdr:colOff>
      <xdr:row>72</xdr:row>
      <xdr:rowOff>76200</xdr:rowOff>
    </xdr:from>
    <xdr:to>
      <xdr:col>1</xdr:col>
      <xdr:colOff>368300</xdr:colOff>
      <xdr:row>74</xdr:row>
      <xdr:rowOff>95250</xdr:rowOff>
    </xdr:to>
    <xdr:sp macro="" textlink="">
      <xdr:nvSpPr>
        <xdr:cNvPr id="40" name="Callout: Up Arrow 39">
          <a:extLst>
            <a:ext uri="{FF2B5EF4-FFF2-40B4-BE49-F238E27FC236}">
              <a16:creationId xmlns:a16="http://schemas.microsoft.com/office/drawing/2014/main" xmlns="" id="{F54CBE79-7C7E-46BF-A2CA-26C775B1C0D2}"/>
            </a:ext>
          </a:extLst>
        </xdr:cNvPr>
        <xdr:cNvSpPr/>
      </xdr:nvSpPr>
      <xdr:spPr>
        <a:xfrm>
          <a:off x="742950" y="202184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a6</a:t>
          </a:r>
        </a:p>
      </xdr:txBody>
    </xdr:sp>
    <xdr:clientData/>
  </xdr:twoCellAnchor>
  <xdr:twoCellAnchor>
    <xdr:from>
      <xdr:col>2</xdr:col>
      <xdr:colOff>25400</xdr:colOff>
      <xdr:row>73</xdr:row>
      <xdr:rowOff>82550</xdr:rowOff>
    </xdr:from>
    <xdr:to>
      <xdr:col>2</xdr:col>
      <xdr:colOff>393700</xdr:colOff>
      <xdr:row>75</xdr:row>
      <xdr:rowOff>133350</xdr:rowOff>
    </xdr:to>
    <xdr:sp macro="" textlink="">
      <xdr:nvSpPr>
        <xdr:cNvPr id="41" name="Callout: Up Arrow 40">
          <a:extLst>
            <a:ext uri="{FF2B5EF4-FFF2-40B4-BE49-F238E27FC236}">
              <a16:creationId xmlns:a16="http://schemas.microsoft.com/office/drawing/2014/main" xmlns="" id="{0D28A675-0707-437C-963D-3B71FB2FBF57}"/>
            </a:ext>
          </a:extLst>
        </xdr:cNvPr>
        <xdr:cNvSpPr/>
      </xdr:nvSpPr>
      <xdr:spPr>
        <a:xfrm>
          <a:off x="1511300" y="14916150"/>
          <a:ext cx="368300" cy="41910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d6</a:t>
          </a:r>
        </a:p>
      </xdr:txBody>
    </xdr:sp>
    <xdr:clientData/>
  </xdr:twoCellAnchor>
  <xdr:twoCellAnchor>
    <xdr:from>
      <xdr:col>3</xdr:col>
      <xdr:colOff>438150</xdr:colOff>
      <xdr:row>73</xdr:row>
      <xdr:rowOff>82550</xdr:rowOff>
    </xdr:from>
    <xdr:to>
      <xdr:col>4</xdr:col>
      <xdr:colOff>63500</xdr:colOff>
      <xdr:row>75</xdr:row>
      <xdr:rowOff>133350</xdr:rowOff>
    </xdr:to>
    <xdr:sp macro="" textlink="">
      <xdr:nvSpPr>
        <xdr:cNvPr id="42" name="Callout: Up Arrow 41">
          <a:extLst>
            <a:ext uri="{FF2B5EF4-FFF2-40B4-BE49-F238E27FC236}">
              <a16:creationId xmlns:a16="http://schemas.microsoft.com/office/drawing/2014/main" xmlns="" id="{0EC50290-E889-4F6D-83F6-977A62C308AC}"/>
            </a:ext>
          </a:extLst>
        </xdr:cNvPr>
        <xdr:cNvSpPr/>
      </xdr:nvSpPr>
      <xdr:spPr>
        <a:xfrm>
          <a:off x="2667000" y="14916150"/>
          <a:ext cx="368300" cy="41910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e6</a:t>
          </a:r>
        </a:p>
      </xdr:txBody>
    </xdr:sp>
    <xdr:clientData/>
  </xdr:twoCellAnchor>
  <xdr:twoCellAnchor>
    <xdr:from>
      <xdr:col>4</xdr:col>
      <xdr:colOff>447675</xdr:colOff>
      <xdr:row>73</xdr:row>
      <xdr:rowOff>82550</xdr:rowOff>
    </xdr:from>
    <xdr:to>
      <xdr:col>5</xdr:col>
      <xdr:colOff>73025</xdr:colOff>
      <xdr:row>75</xdr:row>
      <xdr:rowOff>133350</xdr:rowOff>
    </xdr:to>
    <xdr:sp macro="" textlink="">
      <xdr:nvSpPr>
        <xdr:cNvPr id="43" name="Callout: Up Arrow 42">
          <a:extLst>
            <a:ext uri="{FF2B5EF4-FFF2-40B4-BE49-F238E27FC236}">
              <a16:creationId xmlns:a16="http://schemas.microsoft.com/office/drawing/2014/main" xmlns="" id="{ECF5E148-2090-4A56-B1B7-3BDC762A15A4}"/>
            </a:ext>
          </a:extLst>
        </xdr:cNvPr>
        <xdr:cNvSpPr/>
      </xdr:nvSpPr>
      <xdr:spPr>
        <a:xfrm>
          <a:off x="3419475" y="14916150"/>
          <a:ext cx="368300" cy="41910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f6</a:t>
          </a:r>
        </a:p>
      </xdr:txBody>
    </xdr:sp>
    <xdr:clientData/>
  </xdr:twoCellAnchor>
  <xdr:twoCellAnchor>
    <xdr:from>
      <xdr:col>2</xdr:col>
      <xdr:colOff>736600</xdr:colOff>
      <xdr:row>72</xdr:row>
      <xdr:rowOff>76200</xdr:rowOff>
    </xdr:from>
    <xdr:to>
      <xdr:col>3</xdr:col>
      <xdr:colOff>361950</xdr:colOff>
      <xdr:row>74</xdr:row>
      <xdr:rowOff>95250</xdr:rowOff>
    </xdr:to>
    <xdr:sp macro="" textlink="">
      <xdr:nvSpPr>
        <xdr:cNvPr id="44" name="Callout: Up Arrow 43">
          <a:extLst>
            <a:ext uri="{FF2B5EF4-FFF2-40B4-BE49-F238E27FC236}">
              <a16:creationId xmlns:a16="http://schemas.microsoft.com/office/drawing/2014/main" xmlns="" id="{7E3534D8-6CF1-4FE3-8E8D-726C23FFE9FB}"/>
            </a:ext>
          </a:extLst>
        </xdr:cNvPr>
        <xdr:cNvSpPr/>
      </xdr:nvSpPr>
      <xdr:spPr>
        <a:xfrm>
          <a:off x="2222500" y="202184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b6</a:t>
          </a:r>
        </a:p>
      </xdr:txBody>
    </xdr:sp>
    <xdr:clientData/>
  </xdr:twoCellAnchor>
  <xdr:twoCellAnchor>
    <xdr:from>
      <xdr:col>4</xdr:col>
      <xdr:colOff>3175</xdr:colOff>
      <xdr:row>72</xdr:row>
      <xdr:rowOff>76200</xdr:rowOff>
    </xdr:from>
    <xdr:to>
      <xdr:col>4</xdr:col>
      <xdr:colOff>371475</xdr:colOff>
      <xdr:row>74</xdr:row>
      <xdr:rowOff>95250</xdr:rowOff>
    </xdr:to>
    <xdr:sp macro="" textlink="">
      <xdr:nvSpPr>
        <xdr:cNvPr id="45" name="Callout: Up Arrow 44">
          <a:extLst>
            <a:ext uri="{FF2B5EF4-FFF2-40B4-BE49-F238E27FC236}">
              <a16:creationId xmlns:a16="http://schemas.microsoft.com/office/drawing/2014/main" xmlns="" id="{F38F128F-DF89-475C-9EB2-078F6F415AD9}"/>
            </a:ext>
          </a:extLst>
        </xdr:cNvPr>
        <xdr:cNvSpPr/>
      </xdr:nvSpPr>
      <xdr:spPr>
        <a:xfrm>
          <a:off x="2974975" y="202184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c61</a:t>
          </a:r>
        </a:p>
      </xdr:txBody>
    </xdr:sp>
    <xdr:clientData/>
  </xdr:twoCellAnchor>
  <xdr:twoCellAnchor>
    <xdr:from>
      <xdr:col>1</xdr:col>
      <xdr:colOff>12700</xdr:colOff>
      <xdr:row>81</xdr:row>
      <xdr:rowOff>82550</xdr:rowOff>
    </xdr:from>
    <xdr:to>
      <xdr:col>1</xdr:col>
      <xdr:colOff>381000</xdr:colOff>
      <xdr:row>83</xdr:row>
      <xdr:rowOff>101600</xdr:rowOff>
    </xdr:to>
    <xdr:sp macro="" textlink="">
      <xdr:nvSpPr>
        <xdr:cNvPr id="46" name="Callout: Up Arrow 45">
          <a:extLst>
            <a:ext uri="{FF2B5EF4-FFF2-40B4-BE49-F238E27FC236}">
              <a16:creationId xmlns:a16="http://schemas.microsoft.com/office/drawing/2014/main" xmlns="" id="{F57C6227-89F2-4ED6-BE80-F8F5C71B634A}"/>
            </a:ext>
          </a:extLst>
        </xdr:cNvPr>
        <xdr:cNvSpPr/>
      </xdr:nvSpPr>
      <xdr:spPr>
        <a:xfrm>
          <a:off x="755650" y="166751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a7</a:t>
          </a:r>
        </a:p>
      </xdr:txBody>
    </xdr:sp>
    <xdr:clientData/>
  </xdr:twoCellAnchor>
  <xdr:twoCellAnchor>
    <xdr:from>
      <xdr:col>2</xdr:col>
      <xdr:colOff>12700</xdr:colOff>
      <xdr:row>82</xdr:row>
      <xdr:rowOff>88900</xdr:rowOff>
    </xdr:from>
    <xdr:to>
      <xdr:col>2</xdr:col>
      <xdr:colOff>381000</xdr:colOff>
      <xdr:row>84</xdr:row>
      <xdr:rowOff>146050</xdr:rowOff>
    </xdr:to>
    <xdr:sp macro="" textlink="">
      <xdr:nvSpPr>
        <xdr:cNvPr id="47" name="Callout: Up Arrow 46">
          <a:extLst>
            <a:ext uri="{FF2B5EF4-FFF2-40B4-BE49-F238E27FC236}">
              <a16:creationId xmlns:a16="http://schemas.microsoft.com/office/drawing/2014/main" xmlns="" id="{9D5CFFEE-C3B8-4B13-9402-563A5319470D}"/>
            </a:ext>
          </a:extLst>
        </xdr:cNvPr>
        <xdr:cNvSpPr/>
      </xdr:nvSpPr>
      <xdr:spPr>
        <a:xfrm>
          <a:off x="1498600" y="16865600"/>
          <a:ext cx="368300" cy="4254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d7</a:t>
          </a:r>
        </a:p>
      </xdr:txBody>
    </xdr:sp>
    <xdr:clientData/>
  </xdr:twoCellAnchor>
  <xdr:twoCellAnchor>
    <xdr:from>
      <xdr:col>3</xdr:col>
      <xdr:colOff>444500</xdr:colOff>
      <xdr:row>82</xdr:row>
      <xdr:rowOff>88900</xdr:rowOff>
    </xdr:from>
    <xdr:to>
      <xdr:col>4</xdr:col>
      <xdr:colOff>69850</xdr:colOff>
      <xdr:row>84</xdr:row>
      <xdr:rowOff>146050</xdr:rowOff>
    </xdr:to>
    <xdr:sp macro="" textlink="">
      <xdr:nvSpPr>
        <xdr:cNvPr id="48" name="Callout: Up Arrow 47">
          <a:extLst>
            <a:ext uri="{FF2B5EF4-FFF2-40B4-BE49-F238E27FC236}">
              <a16:creationId xmlns:a16="http://schemas.microsoft.com/office/drawing/2014/main" xmlns="" id="{4A66A0AB-9A2D-4D87-9CE8-CF0A227D09B2}"/>
            </a:ext>
          </a:extLst>
        </xdr:cNvPr>
        <xdr:cNvSpPr/>
      </xdr:nvSpPr>
      <xdr:spPr>
        <a:xfrm>
          <a:off x="2673350" y="16865600"/>
          <a:ext cx="368300" cy="4254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e7</a:t>
          </a:r>
        </a:p>
      </xdr:txBody>
    </xdr:sp>
    <xdr:clientData/>
  </xdr:twoCellAnchor>
  <xdr:twoCellAnchor>
    <xdr:from>
      <xdr:col>4</xdr:col>
      <xdr:colOff>454025</xdr:colOff>
      <xdr:row>82</xdr:row>
      <xdr:rowOff>88900</xdr:rowOff>
    </xdr:from>
    <xdr:to>
      <xdr:col>5</xdr:col>
      <xdr:colOff>79375</xdr:colOff>
      <xdr:row>84</xdr:row>
      <xdr:rowOff>146050</xdr:rowOff>
    </xdr:to>
    <xdr:sp macro="" textlink="">
      <xdr:nvSpPr>
        <xdr:cNvPr id="49" name="Callout: Up Arrow 48">
          <a:extLst>
            <a:ext uri="{FF2B5EF4-FFF2-40B4-BE49-F238E27FC236}">
              <a16:creationId xmlns:a16="http://schemas.microsoft.com/office/drawing/2014/main" xmlns="" id="{29C6862E-87ED-4467-B94D-581E3CB05228}"/>
            </a:ext>
          </a:extLst>
        </xdr:cNvPr>
        <xdr:cNvSpPr/>
      </xdr:nvSpPr>
      <xdr:spPr>
        <a:xfrm>
          <a:off x="3425825" y="16865600"/>
          <a:ext cx="368300" cy="4254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f7</a:t>
          </a:r>
        </a:p>
      </xdr:txBody>
    </xdr:sp>
    <xdr:clientData/>
  </xdr:twoCellAnchor>
  <xdr:twoCellAnchor>
    <xdr:from>
      <xdr:col>3</xdr:col>
      <xdr:colOff>0</xdr:colOff>
      <xdr:row>81</xdr:row>
      <xdr:rowOff>82550</xdr:rowOff>
    </xdr:from>
    <xdr:to>
      <xdr:col>3</xdr:col>
      <xdr:colOff>368300</xdr:colOff>
      <xdr:row>83</xdr:row>
      <xdr:rowOff>101600</xdr:rowOff>
    </xdr:to>
    <xdr:sp macro="" textlink="">
      <xdr:nvSpPr>
        <xdr:cNvPr id="50" name="Callout: Up Arrow 49">
          <a:extLst>
            <a:ext uri="{FF2B5EF4-FFF2-40B4-BE49-F238E27FC236}">
              <a16:creationId xmlns:a16="http://schemas.microsoft.com/office/drawing/2014/main" xmlns="" id="{21255DF5-CF09-4F9A-B03C-499BD2D44149}"/>
            </a:ext>
          </a:extLst>
        </xdr:cNvPr>
        <xdr:cNvSpPr/>
      </xdr:nvSpPr>
      <xdr:spPr>
        <a:xfrm>
          <a:off x="2228850" y="166751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b7</a:t>
          </a:r>
        </a:p>
      </xdr:txBody>
    </xdr:sp>
    <xdr:clientData/>
  </xdr:twoCellAnchor>
  <xdr:twoCellAnchor>
    <xdr:from>
      <xdr:col>4</xdr:col>
      <xdr:colOff>9525</xdr:colOff>
      <xdr:row>81</xdr:row>
      <xdr:rowOff>82550</xdr:rowOff>
    </xdr:from>
    <xdr:to>
      <xdr:col>4</xdr:col>
      <xdr:colOff>377825</xdr:colOff>
      <xdr:row>83</xdr:row>
      <xdr:rowOff>101600</xdr:rowOff>
    </xdr:to>
    <xdr:sp macro="" textlink="">
      <xdr:nvSpPr>
        <xdr:cNvPr id="51" name="Callout: Up Arrow 50">
          <a:extLst>
            <a:ext uri="{FF2B5EF4-FFF2-40B4-BE49-F238E27FC236}">
              <a16:creationId xmlns:a16="http://schemas.microsoft.com/office/drawing/2014/main" xmlns="" id="{56351635-CA6D-45F4-9FFD-FDE585413ACD}"/>
            </a:ext>
          </a:extLst>
        </xdr:cNvPr>
        <xdr:cNvSpPr/>
      </xdr:nvSpPr>
      <xdr:spPr>
        <a:xfrm>
          <a:off x="2981325" y="16675100"/>
          <a:ext cx="368300" cy="387350"/>
        </a:xfrm>
        <a:prstGeom prst="upArrowCallout">
          <a:avLst/>
        </a:prstGeom>
        <a:ln>
          <a:noFill/>
        </a:ln>
      </xdr:spPr>
      <xdr:style>
        <a:lnRef idx="1">
          <a:schemeClr val="accent2"/>
        </a:lnRef>
        <a:fillRef idx="3">
          <a:schemeClr val="accent2"/>
        </a:fillRef>
        <a:effectRef idx="2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c71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X48"/>
  <sheetViews>
    <sheetView zoomScale="70" zoomScaleNormal="70" workbookViewId="0">
      <selection activeCell="H7" sqref="H7:W7"/>
    </sheetView>
  </sheetViews>
  <sheetFormatPr defaultColWidth="8.7109375" defaultRowHeight="15" customHeight="1" x14ac:dyDescent="0.25"/>
  <cols>
    <col min="1" max="1" width="3.7109375" style="6" customWidth="1"/>
    <col min="2" max="11" width="8.7109375" style="6" customWidth="1"/>
    <col min="12" max="13" width="3.28515625" style="6" customWidth="1"/>
    <col min="14" max="23" width="8.7109375" style="6" customWidth="1"/>
    <col min="24" max="24" width="2.7109375" style="6" customWidth="1"/>
    <col min="25" max="16384" width="8.7109375" style="6"/>
  </cols>
  <sheetData>
    <row r="1" spans="1:24" ht="15" customHeight="1" x14ac:dyDescent="0.25">
      <c r="A1" s="4"/>
      <c r="B1" s="4"/>
      <c r="C1" s="4"/>
      <c r="D1" s="5"/>
      <c r="E1" s="5"/>
      <c r="F1" s="5"/>
      <c r="G1" s="5"/>
      <c r="H1" s="9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ht="27" customHeight="1" x14ac:dyDescent="0.25">
      <c r="A2" s="141" t="s">
        <v>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</row>
    <row r="3" spans="1:24" ht="27" customHeight="1" x14ac:dyDescent="0.25">
      <c r="A3" s="142" t="s">
        <v>10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</row>
    <row r="4" spans="1:24" ht="15" customHeight="1" x14ac:dyDescent="0.25">
      <c r="A4" s="5"/>
      <c r="B4" s="5"/>
      <c r="C4" s="5"/>
      <c r="D4" s="5"/>
      <c r="E4" s="5"/>
      <c r="F4" s="5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</row>
    <row r="5" spans="1:24" ht="27" customHeight="1" x14ac:dyDescent="0.25">
      <c r="A5" s="140" t="s">
        <v>406</v>
      </c>
      <c r="B5" s="140"/>
      <c r="C5" s="140"/>
      <c r="D5" s="140"/>
      <c r="E5" s="140"/>
      <c r="F5" s="140"/>
      <c r="G5" s="140"/>
      <c r="H5" s="140"/>
      <c r="I5" s="140"/>
      <c r="J5" s="140"/>
      <c r="K5" s="140"/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</row>
    <row r="6" spans="1:24" ht="15" customHeight="1" x14ac:dyDescent="0.25">
      <c r="A6" s="5"/>
      <c r="B6" s="5"/>
      <c r="C6" s="5"/>
      <c r="D6" s="5"/>
      <c r="E6" s="5"/>
      <c r="F6" s="5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5"/>
      <c r="T6" s="5"/>
      <c r="U6" s="5"/>
      <c r="V6" s="5"/>
      <c r="W6" s="5"/>
      <c r="X6" s="5"/>
    </row>
    <row r="7" spans="1:24" s="10" customFormat="1" ht="24" customHeight="1" x14ac:dyDescent="0.25">
      <c r="A7" s="5"/>
      <c r="B7" s="12"/>
      <c r="C7" s="15" t="s">
        <v>4</v>
      </c>
      <c r="D7" s="13"/>
      <c r="E7" s="12"/>
      <c r="F7" s="13"/>
      <c r="G7" s="13" t="s">
        <v>5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2"/>
    </row>
    <row r="8" spans="1:24" s="10" customFormat="1" ht="5.65" customHeight="1" x14ac:dyDescent="0.25">
      <c r="A8" s="5"/>
      <c r="B8" s="12"/>
      <c r="C8" s="12"/>
      <c r="D8" s="13"/>
      <c r="E8" s="12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2"/>
    </row>
    <row r="9" spans="1:24" s="10" customFormat="1" ht="24" customHeight="1" x14ac:dyDescent="0.25">
      <c r="A9" s="5"/>
      <c r="B9" s="12"/>
      <c r="C9" s="15" t="s">
        <v>11</v>
      </c>
      <c r="D9" s="13"/>
      <c r="E9" s="12"/>
      <c r="F9" s="13"/>
      <c r="G9" s="13" t="s">
        <v>5</v>
      </c>
      <c r="H9" s="139" t="s">
        <v>1</v>
      </c>
      <c r="I9" s="139"/>
      <c r="J9" s="139"/>
      <c r="K9" s="139"/>
      <c r="L9" s="139"/>
      <c r="M9" s="139"/>
      <c r="N9" s="14"/>
      <c r="O9" s="14"/>
      <c r="P9" s="14"/>
      <c r="Q9" s="14"/>
      <c r="R9" s="14"/>
      <c r="S9" s="14"/>
      <c r="T9" s="12"/>
      <c r="U9" s="12"/>
      <c r="V9" s="12"/>
      <c r="W9" s="12"/>
      <c r="X9" s="12"/>
    </row>
    <row r="10" spans="1:24" s="10" customFormat="1" ht="5.65" customHeight="1" x14ac:dyDescent="0.25">
      <c r="A10" s="5"/>
      <c r="B10" s="12"/>
      <c r="C10" s="12"/>
      <c r="D10" s="13"/>
      <c r="E10" s="12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2"/>
    </row>
    <row r="11" spans="1:24" s="10" customFormat="1" ht="24.4" hidden="1" customHeight="1" x14ac:dyDescent="0.25">
      <c r="A11" s="5"/>
      <c r="B11" s="12"/>
      <c r="C11" s="12"/>
      <c r="D11" s="13"/>
      <c r="E11" s="12"/>
      <c r="F11" s="13"/>
      <c r="G11" s="13"/>
      <c r="H11" s="134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2"/>
    </row>
    <row r="12" spans="1:24" s="10" customFormat="1" ht="24.4" hidden="1" customHeight="1" x14ac:dyDescent="0.25">
      <c r="A12" s="5"/>
      <c r="B12" s="12"/>
      <c r="C12" s="12"/>
      <c r="D12" s="13"/>
      <c r="E12" s="12"/>
      <c r="F12" s="13"/>
      <c r="G12" s="13"/>
      <c r="H12" s="134" t="s">
        <v>1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2"/>
    </row>
    <row r="13" spans="1:24" s="10" customFormat="1" ht="24.4" hidden="1" customHeight="1" x14ac:dyDescent="0.25">
      <c r="A13" s="5"/>
      <c r="B13" s="12"/>
      <c r="C13" s="12"/>
      <c r="D13" s="13"/>
      <c r="E13" s="12"/>
      <c r="F13" s="13"/>
      <c r="G13" s="13"/>
      <c r="H13" s="134" t="s">
        <v>2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2"/>
    </row>
    <row r="14" spans="1:24" s="10" customFormat="1" ht="24.4" hidden="1" customHeight="1" x14ac:dyDescent="0.25">
      <c r="A14" s="5"/>
      <c r="B14" s="12"/>
      <c r="C14" s="12"/>
      <c r="D14" s="13"/>
      <c r="E14" s="12"/>
      <c r="F14" s="13"/>
      <c r="G14" s="13"/>
      <c r="H14" s="134" t="s">
        <v>3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2"/>
    </row>
    <row r="15" spans="1:24" s="10" customFormat="1" ht="5.65" hidden="1" customHeight="1" x14ac:dyDescent="0.25">
      <c r="A15" s="5"/>
      <c r="B15" s="12"/>
      <c r="C15" s="12"/>
      <c r="D15" s="13"/>
      <c r="E15" s="12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2"/>
    </row>
    <row r="16" spans="1:24" s="10" customFormat="1" ht="24" customHeight="1" x14ac:dyDescent="0.25">
      <c r="A16" s="5"/>
      <c r="B16" s="12"/>
      <c r="C16" s="15" t="s">
        <v>12</v>
      </c>
      <c r="D16" s="13"/>
      <c r="E16" s="12"/>
      <c r="F16" s="13"/>
      <c r="G16" s="13" t="s">
        <v>5</v>
      </c>
      <c r="H16" s="139" t="s">
        <v>20</v>
      </c>
      <c r="I16" s="139"/>
      <c r="J16" s="139"/>
      <c r="K16" s="139"/>
      <c r="L16" s="139"/>
      <c r="M16" s="139"/>
      <c r="N16" s="139"/>
      <c r="O16" s="139"/>
      <c r="P16" s="14"/>
      <c r="Q16" s="14"/>
      <c r="R16" s="14"/>
      <c r="S16" s="14"/>
      <c r="T16" s="12"/>
      <c r="U16" s="12"/>
      <c r="V16" s="12"/>
      <c r="W16" s="12"/>
      <c r="X16" s="12"/>
    </row>
    <row r="17" spans="1:24" s="10" customFormat="1" ht="5.65" customHeight="1" x14ac:dyDescent="0.25">
      <c r="A17" s="5"/>
      <c r="B17" s="12"/>
      <c r="C17" s="12"/>
      <c r="D17" s="13"/>
      <c r="E17" s="12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2"/>
    </row>
    <row r="18" spans="1:24" s="10" customFormat="1" ht="24.4" hidden="1" customHeight="1" x14ac:dyDescent="0.25">
      <c r="A18" s="5"/>
      <c r="B18" s="12"/>
      <c r="C18" s="12"/>
      <c r="D18" s="13"/>
      <c r="E18" s="12"/>
      <c r="F18" s="13"/>
      <c r="G18" s="13"/>
      <c r="H18" s="134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2"/>
    </row>
    <row r="19" spans="1:24" s="10" customFormat="1" ht="24.4" hidden="1" customHeight="1" x14ac:dyDescent="0.25">
      <c r="A19" s="5"/>
      <c r="B19" s="12"/>
      <c r="C19" s="12"/>
      <c r="D19" s="13"/>
      <c r="E19" s="12"/>
      <c r="F19" s="13"/>
      <c r="G19" s="13"/>
      <c r="H19" s="134" t="s">
        <v>20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2"/>
    </row>
    <row r="20" spans="1:24" s="10" customFormat="1" ht="24.4" hidden="1" customHeight="1" x14ac:dyDescent="0.25">
      <c r="A20" s="5"/>
      <c r="B20" s="12"/>
      <c r="C20" s="12"/>
      <c r="D20" s="13"/>
      <c r="E20" s="12"/>
      <c r="F20" s="13"/>
      <c r="G20" s="13"/>
      <c r="H20" s="134" t="s">
        <v>22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2"/>
    </row>
    <row r="21" spans="1:24" s="10" customFormat="1" ht="24.4" hidden="1" customHeight="1" x14ac:dyDescent="0.25">
      <c r="A21" s="5"/>
      <c r="B21" s="12"/>
      <c r="C21" s="12"/>
      <c r="D21" s="13"/>
      <c r="E21" s="12"/>
      <c r="F21" s="13"/>
      <c r="G21" s="13"/>
      <c r="H21" s="134" t="s">
        <v>23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2"/>
    </row>
    <row r="22" spans="1:24" s="10" customFormat="1" ht="24.4" hidden="1" customHeight="1" x14ac:dyDescent="0.25">
      <c r="A22" s="5"/>
      <c r="B22" s="12"/>
      <c r="C22" s="12"/>
      <c r="D22" s="13"/>
      <c r="E22" s="12"/>
      <c r="F22" s="13"/>
      <c r="G22" s="13"/>
      <c r="H22" s="134" t="s">
        <v>21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2"/>
    </row>
    <row r="23" spans="1:24" s="10" customFormat="1" ht="5.65" hidden="1" customHeight="1" x14ac:dyDescent="0.25">
      <c r="A23" s="5"/>
      <c r="B23" s="12"/>
      <c r="C23" s="12"/>
      <c r="D23" s="13"/>
      <c r="E23" s="12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2"/>
    </row>
    <row r="24" spans="1:24" s="10" customFormat="1" ht="24" customHeight="1" x14ac:dyDescent="0.25">
      <c r="A24" s="5"/>
      <c r="B24" s="12"/>
      <c r="C24" s="15" t="s">
        <v>389</v>
      </c>
      <c r="D24" s="13"/>
      <c r="E24" s="12"/>
      <c r="F24" s="13"/>
      <c r="G24" s="13" t="s">
        <v>5</v>
      </c>
      <c r="H24" s="139"/>
      <c r="I24" s="139"/>
      <c r="J24" s="139"/>
      <c r="K24" s="139"/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2"/>
    </row>
    <row r="25" spans="1:24" s="10" customFormat="1" ht="5.65" customHeight="1" x14ac:dyDescent="0.25">
      <c r="A25" s="5"/>
      <c r="B25" s="12"/>
      <c r="C25" s="12"/>
      <c r="D25" s="13"/>
      <c r="E25" s="12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2"/>
    </row>
    <row r="26" spans="1:24" s="10" customFormat="1" ht="24" customHeight="1" x14ac:dyDescent="0.25">
      <c r="A26" s="5"/>
      <c r="B26" s="12"/>
      <c r="C26" s="15"/>
      <c r="D26" s="13"/>
      <c r="E26" s="12"/>
      <c r="F26" s="13"/>
      <c r="G26" s="13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139"/>
      <c r="W26" s="139"/>
      <c r="X26" s="12"/>
    </row>
    <row r="27" spans="1:24" s="10" customFormat="1" ht="5.65" customHeight="1" x14ac:dyDescent="0.25">
      <c r="A27" s="5"/>
      <c r="B27" s="12"/>
      <c r="C27" s="12"/>
      <c r="D27" s="13"/>
      <c r="E27" s="12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2"/>
    </row>
    <row r="28" spans="1:24" s="10" customFormat="1" ht="24" customHeight="1" x14ac:dyDescent="0.25">
      <c r="A28" s="5"/>
      <c r="B28" s="12"/>
      <c r="C28" s="15" t="s">
        <v>391</v>
      </c>
      <c r="D28" s="13"/>
      <c r="E28" s="12"/>
      <c r="F28" s="13"/>
      <c r="G28" s="13" t="s">
        <v>5</v>
      </c>
      <c r="H28" s="139"/>
      <c r="I28" s="139"/>
      <c r="J28" s="139"/>
      <c r="K28" s="139"/>
      <c r="L28" s="139"/>
      <c r="M28" s="139"/>
      <c r="N28" s="14"/>
      <c r="O28" s="14"/>
      <c r="P28" s="14"/>
      <c r="Q28" s="14"/>
      <c r="R28" s="14"/>
      <c r="S28" s="14"/>
      <c r="T28" s="12"/>
      <c r="U28" s="12"/>
      <c r="V28" s="12"/>
      <c r="W28" s="12"/>
      <c r="X28" s="12"/>
    </row>
    <row r="29" spans="1:24" s="10" customFormat="1" ht="5.65" customHeight="1" x14ac:dyDescent="0.25">
      <c r="A29" s="5"/>
      <c r="B29" s="12"/>
      <c r="C29" s="12"/>
      <c r="D29" s="13"/>
      <c r="E29" s="12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2"/>
    </row>
    <row r="30" spans="1:24" s="10" customFormat="1" ht="24" customHeight="1" x14ac:dyDescent="0.25">
      <c r="A30" s="5"/>
      <c r="B30" s="12"/>
      <c r="C30" s="15" t="s">
        <v>392</v>
      </c>
      <c r="D30" s="13"/>
      <c r="E30" s="12"/>
      <c r="F30" s="13"/>
      <c r="G30" s="13" t="s">
        <v>5</v>
      </c>
      <c r="H30" s="139"/>
      <c r="I30" s="139"/>
      <c r="J30" s="139"/>
      <c r="K30" s="139"/>
      <c r="L30" s="139"/>
      <c r="M30" s="139"/>
      <c r="N30" s="139"/>
      <c r="O30" s="139"/>
      <c r="P30" s="139"/>
      <c r="Q30" s="14"/>
      <c r="R30" s="14"/>
      <c r="S30" s="14"/>
      <c r="T30" s="12"/>
      <c r="U30" s="12"/>
      <c r="V30" s="12"/>
      <c r="W30" s="12"/>
      <c r="X30" s="12"/>
    </row>
    <row r="31" spans="1:24" s="10" customFormat="1" ht="5.65" customHeight="1" x14ac:dyDescent="0.25">
      <c r="A31" s="5"/>
      <c r="B31" s="12"/>
      <c r="C31" s="12"/>
      <c r="D31" s="13"/>
      <c r="E31" s="12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2"/>
    </row>
    <row r="32" spans="1:24" s="10" customFormat="1" ht="24" customHeight="1" x14ac:dyDescent="0.25">
      <c r="A32" s="5"/>
      <c r="B32" s="12"/>
      <c r="C32" s="15" t="s">
        <v>393</v>
      </c>
      <c r="D32" s="13"/>
      <c r="E32" s="12"/>
      <c r="F32" s="13"/>
      <c r="G32" s="13" t="s">
        <v>5</v>
      </c>
      <c r="H32" s="139"/>
      <c r="I32" s="139"/>
      <c r="J32" s="139"/>
      <c r="K32" s="139"/>
      <c r="L32" s="139"/>
      <c r="M32" s="139"/>
      <c r="N32" s="139"/>
      <c r="O32" s="139"/>
      <c r="P32" s="14"/>
      <c r="Q32" s="14"/>
      <c r="R32" s="14"/>
      <c r="S32" s="14"/>
      <c r="T32" s="12"/>
      <c r="U32" s="12"/>
      <c r="V32" s="12"/>
      <c r="W32" s="12"/>
      <c r="X32" s="12"/>
    </row>
    <row r="33" spans="1:24" s="10" customFormat="1" ht="5.65" customHeight="1" x14ac:dyDescent="0.25">
      <c r="A33" s="5"/>
      <c r="B33" s="12"/>
      <c r="C33" s="12"/>
      <c r="D33" s="13"/>
      <c r="E33" s="12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2"/>
    </row>
    <row r="34" spans="1:24" s="10" customFormat="1" ht="24" customHeight="1" x14ac:dyDescent="0.25">
      <c r="A34" s="5"/>
      <c r="B34" s="12"/>
      <c r="C34" s="15" t="s">
        <v>394</v>
      </c>
      <c r="D34" s="13"/>
      <c r="E34" s="12"/>
      <c r="F34" s="13"/>
      <c r="G34" s="13" t="s">
        <v>5</v>
      </c>
      <c r="H34" s="139"/>
      <c r="I34" s="139"/>
      <c r="J34" s="139"/>
      <c r="K34" s="139"/>
      <c r="L34" s="139"/>
      <c r="M34" s="139"/>
      <c r="N34" s="139"/>
      <c r="O34" s="139"/>
      <c r="P34" s="14"/>
      <c r="Q34" s="14"/>
      <c r="R34" s="14"/>
      <c r="S34" s="14"/>
      <c r="T34" s="12"/>
      <c r="U34" s="12"/>
      <c r="V34" s="12"/>
      <c r="W34" s="12"/>
      <c r="X34" s="12"/>
    </row>
    <row r="35" spans="1:24" s="10" customFormat="1" ht="5.65" customHeight="1" x14ac:dyDescent="0.25">
      <c r="A35" s="5"/>
      <c r="B35" s="12"/>
      <c r="C35" s="12"/>
      <c r="D35" s="13"/>
      <c r="E35" s="12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2"/>
    </row>
    <row r="36" spans="1:24" s="10" customFormat="1" ht="24" customHeight="1" x14ac:dyDescent="0.25">
      <c r="A36" s="5"/>
      <c r="B36" s="12"/>
      <c r="C36" s="15" t="s">
        <v>395</v>
      </c>
      <c r="D36" s="13"/>
      <c r="E36" s="12"/>
      <c r="F36" s="13"/>
      <c r="G36" s="13" t="s">
        <v>5</v>
      </c>
      <c r="H36" s="139"/>
      <c r="I36" s="139"/>
      <c r="J36" s="139"/>
      <c r="K36" s="139"/>
      <c r="L36" s="14"/>
      <c r="M36" s="14"/>
      <c r="N36" s="14"/>
      <c r="O36" s="14"/>
      <c r="P36" s="14"/>
      <c r="Q36" s="14"/>
      <c r="R36" s="14"/>
      <c r="S36" s="14"/>
      <c r="T36" s="12"/>
      <c r="U36" s="12"/>
      <c r="V36" s="12"/>
      <c r="W36" s="12"/>
      <c r="X36" s="12"/>
    </row>
    <row r="37" spans="1:24" s="10" customFormat="1" ht="5.65" customHeight="1" x14ac:dyDescent="0.25">
      <c r="A37" s="5"/>
      <c r="B37" s="12"/>
      <c r="C37" s="12"/>
      <c r="D37" s="13"/>
      <c r="E37" s="12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2"/>
    </row>
    <row r="38" spans="1:24" s="10" customFormat="1" ht="24" customHeight="1" x14ac:dyDescent="0.25">
      <c r="A38" s="5"/>
      <c r="B38" s="12"/>
      <c r="C38" s="15" t="s">
        <v>396</v>
      </c>
      <c r="D38" s="13"/>
      <c r="E38" s="12"/>
      <c r="F38" s="13"/>
      <c r="G38" s="13" t="s">
        <v>5</v>
      </c>
      <c r="H38" s="133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2"/>
      <c r="U38" s="12"/>
      <c r="V38" s="12"/>
      <c r="W38" s="12"/>
      <c r="X38" s="12"/>
    </row>
    <row r="39" spans="1:24" s="10" customFormat="1" ht="5.65" customHeight="1" x14ac:dyDescent="0.25">
      <c r="A39" s="5"/>
      <c r="B39" s="12"/>
      <c r="C39" s="12"/>
      <c r="D39" s="13"/>
      <c r="E39" s="12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2"/>
    </row>
    <row r="40" spans="1:24" s="10" customFormat="1" ht="24" customHeight="1" x14ac:dyDescent="0.25">
      <c r="A40" s="5"/>
      <c r="B40" s="12"/>
      <c r="C40" s="15" t="s">
        <v>397</v>
      </c>
      <c r="D40" s="13"/>
      <c r="E40" s="12"/>
      <c r="F40" s="13"/>
      <c r="G40" s="13" t="s">
        <v>5</v>
      </c>
      <c r="H40" s="139"/>
      <c r="I40" s="139"/>
      <c r="J40" s="139"/>
      <c r="K40" s="139"/>
      <c r="L40" s="139"/>
      <c r="M40" s="139"/>
      <c r="N40" s="139"/>
      <c r="O40" s="139"/>
      <c r="P40" s="14"/>
      <c r="Q40" s="14"/>
      <c r="R40" s="14"/>
      <c r="S40" s="14"/>
      <c r="T40" s="12"/>
      <c r="U40" s="12"/>
      <c r="V40" s="12"/>
      <c r="W40" s="12"/>
      <c r="X40" s="12"/>
    </row>
    <row r="41" spans="1:24" s="10" customFormat="1" ht="5.65" customHeight="1" x14ac:dyDescent="0.25">
      <c r="A41" s="5"/>
      <c r="B41" s="12"/>
      <c r="C41" s="12"/>
      <c r="D41" s="13"/>
      <c r="E41" s="12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2"/>
    </row>
    <row r="42" spans="1:24" ht="15" customHeight="1" x14ac:dyDescent="0.25">
      <c r="A42" s="5"/>
      <c r="B42" s="5"/>
      <c r="C42" s="5"/>
      <c r="D42" s="11"/>
      <c r="E42" s="5"/>
      <c r="F42" s="5"/>
      <c r="G42" s="5"/>
      <c r="H42" s="5"/>
      <c r="I42" s="5"/>
      <c r="J42" s="5"/>
      <c r="K42" s="5"/>
      <c r="L42" s="5"/>
      <c r="M42" s="5"/>
      <c r="N42" s="8"/>
      <c r="O42" s="8"/>
      <c r="P42" s="8"/>
      <c r="Q42" s="8"/>
      <c r="R42" s="8"/>
      <c r="S42" s="8"/>
      <c r="T42" s="5"/>
      <c r="U42" s="5"/>
      <c r="V42" s="5"/>
      <c r="W42" s="5"/>
      <c r="X42" s="5"/>
    </row>
    <row r="43" spans="1:24" ht="4.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16"/>
      <c r="M43" s="14"/>
      <c r="N43" s="12"/>
      <c r="O43" s="13"/>
      <c r="P43" s="12"/>
      <c r="Q43" s="13"/>
      <c r="R43" s="13"/>
      <c r="S43" s="13"/>
      <c r="T43" s="13"/>
      <c r="U43" s="13"/>
      <c r="V43" s="13"/>
      <c r="W43" s="5"/>
      <c r="X43" s="12"/>
    </row>
    <row r="44" spans="1:24" ht="24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16"/>
      <c r="M44" s="14"/>
      <c r="N44" s="15" t="s">
        <v>398</v>
      </c>
      <c r="O44" s="13"/>
      <c r="P44" s="12"/>
      <c r="Q44" s="13" t="s">
        <v>5</v>
      </c>
      <c r="R44" s="139"/>
      <c r="S44" s="139"/>
      <c r="T44" s="139"/>
      <c r="U44" s="139"/>
      <c r="V44" s="139"/>
      <c r="W44" s="139"/>
      <c r="X44" s="12"/>
    </row>
    <row r="45" spans="1:24" ht="4.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16"/>
      <c r="M45" s="5"/>
      <c r="N45" s="12"/>
      <c r="O45" s="13"/>
      <c r="P45" s="12"/>
      <c r="Q45" s="13"/>
      <c r="R45" s="13"/>
      <c r="S45" s="13"/>
      <c r="T45" s="13"/>
      <c r="U45" s="5"/>
      <c r="V45" s="5"/>
      <c r="W45" s="5"/>
      <c r="X45" s="5"/>
    </row>
    <row r="46" spans="1:24" ht="24" customHeight="1" x14ac:dyDescent="0.25">
      <c r="A46" s="5"/>
      <c r="B46" s="18"/>
      <c r="C46" s="19"/>
      <c r="D46" s="5"/>
      <c r="E46" s="5"/>
      <c r="F46" s="5"/>
      <c r="G46" s="5"/>
      <c r="H46" s="5"/>
      <c r="I46" s="5"/>
      <c r="J46" s="5"/>
      <c r="K46" s="5"/>
      <c r="L46" s="16"/>
      <c r="M46" s="5"/>
      <c r="N46" s="15" t="s">
        <v>390</v>
      </c>
      <c r="O46" s="13"/>
      <c r="P46" s="12"/>
      <c r="Q46" s="13" t="s">
        <v>5</v>
      </c>
      <c r="R46" s="138">
        <f ca="1">TODAY()</f>
        <v>43569</v>
      </c>
      <c r="S46" s="138"/>
      <c r="T46" s="138"/>
      <c r="U46" s="5"/>
      <c r="V46" s="5"/>
      <c r="W46" s="5"/>
      <c r="X46" s="5"/>
    </row>
    <row r="47" spans="1:24" ht="24" customHeight="1" x14ac:dyDescent="0.25">
      <c r="A47" s="5"/>
      <c r="B47" s="18" t="s">
        <v>6</v>
      </c>
      <c r="C47" s="19" t="s">
        <v>407</v>
      </c>
      <c r="D47" s="5"/>
      <c r="E47" s="5"/>
      <c r="F47" s="5"/>
      <c r="G47" s="5"/>
      <c r="H47" s="5"/>
      <c r="I47" s="5"/>
      <c r="J47" s="5"/>
      <c r="K47" s="5"/>
      <c r="L47" s="16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spans="1:24" ht="15" customHeight="1" x14ac:dyDescent="0.25">
      <c r="A48" s="5"/>
      <c r="B48" s="17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</sheetData>
  <protectedRanges>
    <protectedRange sqref="H40 H16 H24 H26 H28 H30 H32 P24 H36 H34 H38 H9" name="Nama Program Studi"/>
    <protectedRange sqref="R46" name="Tanggal Penilaian AL"/>
    <protectedRange sqref="R44" name="Kota Penilaian AL"/>
    <protectedRange sqref="H7" name="Nama PT"/>
  </protectedRanges>
  <mergeCells count="16">
    <mergeCell ref="A2:X2"/>
    <mergeCell ref="A3:X3"/>
    <mergeCell ref="H7:W7"/>
    <mergeCell ref="H9:M9"/>
    <mergeCell ref="H16:O16"/>
    <mergeCell ref="R46:T46"/>
    <mergeCell ref="H40:O40"/>
    <mergeCell ref="R44:W44"/>
    <mergeCell ref="A5:X5"/>
    <mergeCell ref="H24:W24"/>
    <mergeCell ref="H26:W26"/>
    <mergeCell ref="H30:P30"/>
    <mergeCell ref="H28:M28"/>
    <mergeCell ref="H32:O32"/>
    <mergeCell ref="H34:O34"/>
    <mergeCell ref="H36:K36"/>
  </mergeCells>
  <dataValidations count="4">
    <dataValidation type="list" allowBlank="1" showInputMessage="1" showErrorMessage="1" sqref="H16:O16">
      <formula1>$H$18:$H$22</formula1>
    </dataValidation>
    <dataValidation allowBlank="1" showInputMessage="1" showErrorMessage="1" sqref="H28 H26 H34 H30 H40 H32 H38 H36"/>
    <dataValidation type="list" allowBlank="1" showInputMessage="1" showErrorMessage="1" sqref="H9:M9">
      <formula1>$H$11:$H$14</formula1>
    </dataValidation>
    <dataValidation type="list" allowBlank="1" showInputMessage="1" showErrorMessage="1" sqref="H10:M14 H18:M22">
      <formula1>#REF!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xSplit="1" ySplit="3" topLeftCell="B4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defaultRowHeight="15" x14ac:dyDescent="0.25"/>
  <cols>
    <col min="1" max="1" width="5.7109375" customWidth="1"/>
    <col min="2" max="2" width="69.140625" bestFit="1" customWidth="1"/>
    <col min="3" max="3" width="12.7109375" customWidth="1"/>
  </cols>
  <sheetData>
    <row r="1" spans="1:3" x14ac:dyDescent="0.25">
      <c r="A1" s="118" t="s">
        <v>375</v>
      </c>
    </row>
    <row r="3" spans="1:3" ht="21.4" customHeight="1" x14ac:dyDescent="0.25">
      <c r="A3" s="119" t="s">
        <v>209</v>
      </c>
      <c r="B3" s="119" t="s">
        <v>347</v>
      </c>
      <c r="C3" s="119" t="s">
        <v>348</v>
      </c>
    </row>
    <row r="4" spans="1:3" x14ac:dyDescent="0.25">
      <c r="A4" s="120">
        <v>1</v>
      </c>
      <c r="B4" s="121" t="s">
        <v>399</v>
      </c>
      <c r="C4" s="128" t="s">
        <v>402</v>
      </c>
    </row>
    <row r="5" spans="1:3" x14ac:dyDescent="0.25">
      <c r="A5" s="120">
        <v>2</v>
      </c>
      <c r="B5" s="121" t="s">
        <v>400</v>
      </c>
      <c r="C5" s="128" t="s">
        <v>403</v>
      </c>
    </row>
    <row r="6" spans="1:3" x14ac:dyDescent="0.25">
      <c r="A6" s="120">
        <v>3</v>
      </c>
      <c r="B6" s="121" t="s">
        <v>404</v>
      </c>
      <c r="C6" s="128" t="s">
        <v>405</v>
      </c>
    </row>
    <row r="7" spans="1:3" x14ac:dyDescent="0.25">
      <c r="A7" s="120">
        <v>4</v>
      </c>
      <c r="B7" s="123" t="s">
        <v>79</v>
      </c>
      <c r="C7" s="122" t="s">
        <v>349</v>
      </c>
    </row>
    <row r="8" spans="1:3" x14ac:dyDescent="0.25">
      <c r="A8" s="120">
        <v>5</v>
      </c>
      <c r="B8" s="123" t="s">
        <v>80</v>
      </c>
      <c r="C8" s="122" t="s">
        <v>350</v>
      </c>
    </row>
    <row r="9" spans="1:3" x14ac:dyDescent="0.25">
      <c r="A9" s="120">
        <v>6</v>
      </c>
      <c r="B9" s="123" t="s">
        <v>81</v>
      </c>
      <c r="C9" s="122" t="s">
        <v>351</v>
      </c>
    </row>
    <row r="10" spans="1:3" x14ac:dyDescent="0.25">
      <c r="A10" s="120">
        <v>7</v>
      </c>
      <c r="B10" s="123" t="s">
        <v>82</v>
      </c>
      <c r="C10" s="122" t="s">
        <v>352</v>
      </c>
    </row>
    <row r="11" spans="1:3" x14ac:dyDescent="0.25">
      <c r="A11" s="120">
        <v>8</v>
      </c>
      <c r="B11" s="123" t="s">
        <v>78</v>
      </c>
      <c r="C11" s="122" t="s">
        <v>353</v>
      </c>
    </row>
    <row r="12" spans="1:3" x14ac:dyDescent="0.25">
      <c r="A12" s="120">
        <v>9</v>
      </c>
      <c r="B12" s="121" t="s">
        <v>84</v>
      </c>
      <c r="C12" s="122" t="s">
        <v>354</v>
      </c>
    </row>
    <row r="13" spans="1:3" x14ac:dyDescent="0.25">
      <c r="A13" s="120">
        <v>10</v>
      </c>
      <c r="B13" s="123" t="s">
        <v>346</v>
      </c>
      <c r="C13" s="122" t="s">
        <v>355</v>
      </c>
    </row>
    <row r="14" spans="1:3" x14ac:dyDescent="0.25">
      <c r="A14" s="120">
        <v>11</v>
      </c>
      <c r="B14" s="124" t="s">
        <v>94</v>
      </c>
      <c r="C14" s="122" t="s">
        <v>356</v>
      </c>
    </row>
    <row r="15" spans="1:3" x14ac:dyDescent="0.25">
      <c r="A15" s="120">
        <v>12</v>
      </c>
      <c r="B15" s="124" t="s">
        <v>95</v>
      </c>
      <c r="C15" s="122" t="s">
        <v>357</v>
      </c>
    </row>
    <row r="16" spans="1:3" x14ac:dyDescent="0.25">
      <c r="A16" s="120">
        <v>13</v>
      </c>
      <c r="B16" s="124" t="s">
        <v>96</v>
      </c>
      <c r="C16" s="122" t="s">
        <v>358</v>
      </c>
    </row>
    <row r="17" spans="1:3" x14ac:dyDescent="0.25">
      <c r="A17" s="120">
        <v>14</v>
      </c>
      <c r="B17" s="125" t="s">
        <v>102</v>
      </c>
      <c r="C17" s="122" t="s">
        <v>359</v>
      </c>
    </row>
    <row r="18" spans="1:3" x14ac:dyDescent="0.25">
      <c r="A18" s="120">
        <v>15</v>
      </c>
      <c r="B18" s="114" t="s">
        <v>104</v>
      </c>
      <c r="C18" s="122" t="s">
        <v>360</v>
      </c>
    </row>
    <row r="19" spans="1:3" x14ac:dyDescent="0.25">
      <c r="A19" s="120">
        <v>16</v>
      </c>
      <c r="B19" s="124" t="s">
        <v>109</v>
      </c>
      <c r="C19" s="122" t="s">
        <v>361</v>
      </c>
    </row>
    <row r="20" spans="1:3" x14ac:dyDescent="0.25">
      <c r="A20" s="120">
        <v>17</v>
      </c>
      <c r="B20" s="124" t="s">
        <v>135</v>
      </c>
      <c r="C20" s="122" t="s">
        <v>362</v>
      </c>
    </row>
    <row r="21" spans="1:3" x14ac:dyDescent="0.25">
      <c r="A21" s="120">
        <v>18</v>
      </c>
      <c r="B21" s="124" t="s">
        <v>149</v>
      </c>
      <c r="C21" s="122" t="s">
        <v>363</v>
      </c>
    </row>
    <row r="22" spans="1:3" x14ac:dyDescent="0.25">
      <c r="A22" s="120">
        <v>19</v>
      </c>
      <c r="B22" s="124" t="s">
        <v>156</v>
      </c>
      <c r="C22" s="122" t="s">
        <v>364</v>
      </c>
    </row>
    <row r="23" spans="1:3" x14ac:dyDescent="0.25">
      <c r="A23" s="120">
        <v>20</v>
      </c>
      <c r="B23" s="125" t="s">
        <v>162</v>
      </c>
      <c r="C23" s="122" t="s">
        <v>365</v>
      </c>
    </row>
    <row r="24" spans="1:3" x14ac:dyDescent="0.25">
      <c r="A24" s="120">
        <v>21</v>
      </c>
      <c r="B24" s="125" t="s">
        <v>163</v>
      </c>
      <c r="C24" s="122" t="s">
        <v>366</v>
      </c>
    </row>
    <row r="25" spans="1:3" x14ac:dyDescent="0.25">
      <c r="A25" s="120">
        <v>22</v>
      </c>
      <c r="B25" s="125" t="s">
        <v>367</v>
      </c>
      <c r="C25" s="122" t="s">
        <v>368</v>
      </c>
    </row>
    <row r="26" spans="1:3" x14ac:dyDescent="0.25">
      <c r="A26" s="120">
        <v>23</v>
      </c>
      <c r="B26" s="124" t="s">
        <v>198</v>
      </c>
      <c r="C26" s="128" t="s">
        <v>378</v>
      </c>
    </row>
    <row r="27" spans="1:3" x14ac:dyDescent="0.25">
      <c r="A27" s="120">
        <v>24</v>
      </c>
      <c r="B27" s="124" t="s">
        <v>201</v>
      </c>
      <c r="C27" s="122" t="s">
        <v>369</v>
      </c>
    </row>
    <row r="28" spans="1:3" x14ac:dyDescent="0.25">
      <c r="A28" s="120">
        <v>25</v>
      </c>
      <c r="B28" s="124" t="s">
        <v>204</v>
      </c>
      <c r="C28" s="122" t="s">
        <v>370</v>
      </c>
    </row>
    <row r="29" spans="1:3" x14ac:dyDescent="0.25">
      <c r="A29" s="120">
        <v>26</v>
      </c>
      <c r="B29" s="124" t="s">
        <v>206</v>
      </c>
      <c r="C29" s="128" t="s">
        <v>377</v>
      </c>
    </row>
    <row r="30" spans="1:3" x14ac:dyDescent="0.25">
      <c r="A30" s="120">
        <v>27</v>
      </c>
      <c r="B30" s="124" t="s">
        <v>208</v>
      </c>
      <c r="C30" s="126" t="s">
        <v>371</v>
      </c>
    </row>
    <row r="31" spans="1:3" x14ac:dyDescent="0.25">
      <c r="A31" s="120">
        <v>28</v>
      </c>
      <c r="B31" s="124" t="s">
        <v>221</v>
      </c>
      <c r="C31" s="126" t="s">
        <v>372</v>
      </c>
    </row>
    <row r="32" spans="1:3" x14ac:dyDescent="0.25">
      <c r="A32" s="120">
        <v>29</v>
      </c>
      <c r="B32" s="125" t="s">
        <v>259</v>
      </c>
      <c r="C32" s="128" t="s">
        <v>379</v>
      </c>
    </row>
    <row r="33" spans="1:3" x14ac:dyDescent="0.25">
      <c r="A33" s="120">
        <v>30</v>
      </c>
      <c r="B33" s="124" t="s">
        <v>380</v>
      </c>
      <c r="C33" s="128" t="s">
        <v>376</v>
      </c>
    </row>
    <row r="34" spans="1:3" x14ac:dyDescent="0.25">
      <c r="A34" s="120">
        <v>31</v>
      </c>
      <c r="B34" s="114" t="s">
        <v>273</v>
      </c>
      <c r="C34" s="122" t="s">
        <v>373</v>
      </c>
    </row>
  </sheetData>
  <hyperlinks>
    <hyperlink ref="C7" location="'1b'!A1" display="1b"/>
    <hyperlink ref="C8" location="'1c'!A1" display="1c"/>
    <hyperlink ref="C9" location="'2a'!A1" display="2a"/>
    <hyperlink ref="C10" location="'2b'!A1" display="2b"/>
    <hyperlink ref="C11" location="'3a1'!A1" display="3a1"/>
    <hyperlink ref="C12" location="'3a2'!A1" display="3a2"/>
    <hyperlink ref="C13" location="'3a3'!A1" display="3a3"/>
    <hyperlink ref="C14" location="'3a4'!A1" display="3a4"/>
    <hyperlink ref="C15" location="'3b'!A1" display="3b"/>
    <hyperlink ref="C16" location="'3c1'!A1" display="3c1"/>
    <hyperlink ref="C17" location="'3c2'!A1" display="3c2"/>
    <hyperlink ref="C18" location="'3d'!A1" display="3d"/>
    <hyperlink ref="C19" location="'4a'!A1" display="4a"/>
    <hyperlink ref="C20" location="'4b'!A1" display="4b"/>
    <hyperlink ref="C21" location="'5a1'!A1" display="5a1"/>
    <hyperlink ref="C22" location="'5b1'!A1" display="5b1"/>
    <hyperlink ref="C23" location="'5b2'!A1" display="5b2"/>
    <hyperlink ref="C24" location="'5c1'!A1" display="5c1"/>
    <hyperlink ref="C25" location="'5c2'!A1" display="5c2"/>
    <hyperlink ref="C26" location="'Ref 5d1d2e2'!A1" display="Ref 5d1d2e2"/>
    <hyperlink ref="C27" location="'5d1'!A1" display="5d1"/>
    <hyperlink ref="C28" location="'5d2'!A1" display="5d2"/>
    <hyperlink ref="C29" location="'Ref 5e1'!A1" display="Ref 5e1"/>
    <hyperlink ref="C30" location="'5e1'!A1" display="5e1"/>
    <hyperlink ref="C31" location="'5e2'!A1" display="5e2"/>
    <hyperlink ref="C32" location="'5f'!A1" display="5f1"/>
    <hyperlink ref="C33" location="'5g'!A1" display="5g"/>
    <hyperlink ref="C34" location="'5h'!A1" display="5h"/>
    <hyperlink ref="C4" location="'1a1'!A1" display="1a1"/>
    <hyperlink ref="C5" location="'1a2'!A1" display="1a2"/>
    <hyperlink ref="C6" location="'1a3'!A1" display="1a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Normal="100" workbookViewId="0">
      <pane xSplit="1" ySplit="14" topLeftCell="B15" activePane="bottomRight" state="frozen"/>
      <selection pane="topRight" activeCell="B1" sqref="B1"/>
      <selection pane="bottomLeft" activeCell="A15" sqref="A15"/>
      <selection pane="bottomRight" activeCell="K14" sqref="K14"/>
    </sheetView>
  </sheetViews>
  <sheetFormatPr defaultColWidth="8.7109375" defaultRowHeight="15" x14ac:dyDescent="0.25"/>
  <cols>
    <col min="1" max="1" width="5.28515625" style="21" customWidth="1"/>
    <col min="2" max="2" width="26.7109375" style="21" customWidth="1"/>
    <col min="3" max="3" width="25.5703125" style="21" customWidth="1"/>
    <col min="4" max="4" width="21.140625" style="21" customWidth="1"/>
    <col min="5" max="5" width="23.28515625" style="21" customWidth="1"/>
    <col min="6" max="6" width="14.28515625" style="21" customWidth="1"/>
    <col min="7" max="7" width="23.5703125" style="21" customWidth="1"/>
    <col min="8" max="8" width="14.7109375" style="75" bestFit="1" customWidth="1"/>
    <col min="9" max="12" width="8.7109375" style="75"/>
    <col min="13" max="16384" width="8.7109375" style="21"/>
  </cols>
  <sheetData>
    <row r="1" spans="1:10" x14ac:dyDescent="0.25">
      <c r="A1" s="21" t="s">
        <v>269</v>
      </c>
      <c r="H1" s="127" t="s">
        <v>374</v>
      </c>
      <c r="I1" s="21"/>
    </row>
    <row r="2" spans="1:10" ht="18.75" x14ac:dyDescent="0.3">
      <c r="E2" s="137" t="s">
        <v>408</v>
      </c>
      <c r="F2" s="136"/>
      <c r="I2" s="21"/>
    </row>
    <row r="3" spans="1:10" hidden="1" x14ac:dyDescent="0.25">
      <c r="B3" s="21" t="s">
        <v>303</v>
      </c>
      <c r="C3" s="75" t="s">
        <v>304</v>
      </c>
      <c r="I3" s="21"/>
      <c r="J3" s="21"/>
    </row>
    <row r="4" spans="1:10" hidden="1" x14ac:dyDescent="0.25">
      <c r="C4" s="75"/>
      <c r="I4" s="21"/>
      <c r="J4" s="21"/>
    </row>
    <row r="5" spans="1:10" hidden="1" x14ac:dyDescent="0.25">
      <c r="B5" s="106" t="s">
        <v>306</v>
      </c>
      <c r="C5" s="75" t="s">
        <v>58</v>
      </c>
      <c r="I5" s="21"/>
      <c r="J5" s="21"/>
    </row>
    <row r="6" spans="1:10" hidden="1" x14ac:dyDescent="0.25">
      <c r="B6" s="106" t="s">
        <v>305</v>
      </c>
      <c r="C6" s="75" t="s">
        <v>57</v>
      </c>
      <c r="I6" s="21"/>
      <c r="J6" s="21"/>
    </row>
    <row r="7" spans="1:10" hidden="1" x14ac:dyDescent="0.25">
      <c r="B7" s="106"/>
      <c r="C7" s="75"/>
      <c r="I7" s="21"/>
      <c r="J7" s="21"/>
    </row>
    <row r="8" spans="1:10" x14ac:dyDescent="0.25">
      <c r="A8" s="108" t="s">
        <v>332</v>
      </c>
      <c r="F8" s="113">
        <f>COUNTIFS(D15:D25,"PT/ Fakultas",E15:E25,"Internasional")</f>
        <v>1</v>
      </c>
      <c r="I8" s="21"/>
      <c r="J8" s="21"/>
    </row>
    <row r="9" spans="1:10" x14ac:dyDescent="0.25">
      <c r="A9" s="108" t="s">
        <v>333</v>
      </c>
      <c r="F9" s="113">
        <f>COUNTIFS(D15:D25,"PT/ Fakultas",E15:E25,"Nasional")</f>
        <v>1</v>
      </c>
      <c r="I9" s="21"/>
      <c r="J9" s="21"/>
    </row>
    <row r="10" spans="1:10" x14ac:dyDescent="0.25">
      <c r="A10" s="108" t="s">
        <v>334</v>
      </c>
      <c r="F10" s="113">
        <f>COUNTIF(D15:D25,"Unit")</f>
        <v>2</v>
      </c>
      <c r="I10" s="21"/>
      <c r="J10" s="21"/>
    </row>
    <row r="11" spans="1:10" x14ac:dyDescent="0.25">
      <c r="I11" s="106"/>
    </row>
    <row r="12" spans="1:10" x14ac:dyDescent="0.25">
      <c r="A12" s="21" t="s">
        <v>399</v>
      </c>
    </row>
    <row r="13" spans="1:10" ht="25.5" x14ac:dyDescent="0.25">
      <c r="A13" s="131" t="s">
        <v>0</v>
      </c>
      <c r="B13" s="131" t="s">
        <v>268</v>
      </c>
      <c r="C13" s="131" t="s">
        <v>299</v>
      </c>
      <c r="D13" s="131" t="s">
        <v>298</v>
      </c>
      <c r="E13" s="131" t="s">
        <v>300</v>
      </c>
      <c r="F13" s="131" t="s">
        <v>24</v>
      </c>
      <c r="G13" s="131" t="s">
        <v>8</v>
      </c>
    </row>
    <row r="14" spans="1:10" x14ac:dyDescent="0.25">
      <c r="A14" s="22">
        <v>1</v>
      </c>
      <c r="B14" s="22">
        <v>2</v>
      </c>
      <c r="C14" s="22">
        <v>3</v>
      </c>
      <c r="D14" s="22">
        <v>4</v>
      </c>
      <c r="E14" s="22">
        <v>5</v>
      </c>
      <c r="F14" s="22">
        <v>6</v>
      </c>
      <c r="G14" s="22">
        <v>7</v>
      </c>
    </row>
    <row r="15" spans="1:10" x14ac:dyDescent="0.25">
      <c r="A15" s="50">
        <v>1</v>
      </c>
      <c r="B15" s="31"/>
      <c r="C15" s="31"/>
      <c r="D15" s="31" t="s">
        <v>306</v>
      </c>
      <c r="E15" s="31" t="s">
        <v>57</v>
      </c>
      <c r="F15" s="31"/>
      <c r="G15" s="31"/>
      <c r="I15" s="21"/>
      <c r="J15" s="106"/>
    </row>
    <row r="16" spans="1:10" x14ac:dyDescent="0.25">
      <c r="A16" s="50">
        <v>2</v>
      </c>
      <c r="B16" s="31"/>
      <c r="C16" s="31"/>
      <c r="D16" s="31" t="s">
        <v>306</v>
      </c>
      <c r="E16" s="31" t="s">
        <v>58</v>
      </c>
      <c r="F16" s="31"/>
      <c r="G16" s="31"/>
      <c r="I16" s="21"/>
      <c r="J16" s="106"/>
    </row>
    <row r="17" spans="1:12" x14ac:dyDescent="0.25">
      <c r="A17" s="50">
        <v>3</v>
      </c>
      <c r="B17" s="31"/>
      <c r="C17" s="31"/>
      <c r="D17" s="31" t="s">
        <v>305</v>
      </c>
      <c r="E17" s="31" t="s">
        <v>57</v>
      </c>
      <c r="F17" s="31"/>
      <c r="G17" s="31"/>
      <c r="I17" s="21"/>
      <c r="J17" s="106"/>
    </row>
    <row r="18" spans="1:12" x14ac:dyDescent="0.25">
      <c r="A18" s="50">
        <v>4</v>
      </c>
      <c r="B18" s="31"/>
      <c r="C18" s="31"/>
      <c r="D18" s="31" t="s">
        <v>305</v>
      </c>
      <c r="E18" s="31" t="s">
        <v>58</v>
      </c>
      <c r="F18" s="31"/>
      <c r="G18" s="31"/>
      <c r="I18" s="21"/>
      <c r="J18" s="106"/>
    </row>
    <row r="19" spans="1:12" x14ac:dyDescent="0.25">
      <c r="A19" s="50">
        <v>5</v>
      </c>
      <c r="B19" s="31"/>
      <c r="C19" s="31"/>
      <c r="D19" s="31"/>
      <c r="E19" s="31"/>
      <c r="F19" s="31"/>
      <c r="G19" s="31"/>
      <c r="I19" s="21"/>
      <c r="J19" s="106"/>
    </row>
    <row r="20" spans="1:12" x14ac:dyDescent="0.25">
      <c r="A20" s="50">
        <v>6</v>
      </c>
      <c r="B20" s="31"/>
      <c r="C20" s="31"/>
      <c r="D20" s="31"/>
      <c r="E20" s="31"/>
      <c r="F20" s="31"/>
      <c r="G20" s="31"/>
      <c r="I20" s="21"/>
      <c r="J20" s="106"/>
      <c r="K20" s="21"/>
      <c r="L20" s="21"/>
    </row>
    <row r="21" spans="1:12" x14ac:dyDescent="0.25">
      <c r="A21" s="50">
        <v>7</v>
      </c>
      <c r="B21" s="31"/>
      <c r="C21" s="31"/>
      <c r="D21" s="31"/>
      <c r="E21" s="31"/>
      <c r="F21" s="31"/>
      <c r="G21" s="31"/>
      <c r="I21" s="21"/>
      <c r="J21" s="106"/>
      <c r="K21" s="21"/>
      <c r="L21" s="21"/>
    </row>
    <row r="22" spans="1:12" x14ac:dyDescent="0.25">
      <c r="A22" s="50">
        <v>8</v>
      </c>
      <c r="B22" s="31"/>
      <c r="C22" s="31"/>
      <c r="D22" s="31"/>
      <c r="E22" s="31"/>
      <c r="F22" s="31"/>
      <c r="G22" s="31"/>
      <c r="I22" s="21"/>
      <c r="J22" s="106"/>
      <c r="K22" s="21"/>
      <c r="L22" s="21"/>
    </row>
    <row r="23" spans="1:12" x14ac:dyDescent="0.25">
      <c r="A23" s="50">
        <v>9</v>
      </c>
      <c r="B23" s="31"/>
      <c r="C23" s="31"/>
      <c r="D23" s="31"/>
      <c r="E23" s="31"/>
      <c r="F23" s="31"/>
      <c r="G23" s="31"/>
      <c r="I23" s="21"/>
      <c r="J23" s="106"/>
      <c r="K23" s="21"/>
      <c r="L23" s="21"/>
    </row>
    <row r="24" spans="1:12" x14ac:dyDescent="0.25">
      <c r="A24" s="50">
        <v>10</v>
      </c>
      <c r="B24" s="31"/>
      <c r="C24" s="31"/>
      <c r="D24" s="31"/>
      <c r="E24" s="31"/>
      <c r="F24" s="31"/>
      <c r="G24" s="31"/>
      <c r="I24" s="21"/>
      <c r="J24" s="106"/>
      <c r="K24" s="21"/>
      <c r="L24" s="21"/>
    </row>
    <row r="25" spans="1:12" x14ac:dyDescent="0.25">
      <c r="A25" s="50" t="s">
        <v>26</v>
      </c>
      <c r="B25" s="31"/>
      <c r="C25" s="31"/>
      <c r="D25" s="31"/>
      <c r="E25" s="31"/>
      <c r="F25" s="31"/>
      <c r="G25" s="31"/>
      <c r="I25" s="21"/>
      <c r="J25" s="106"/>
      <c r="K25" s="21"/>
      <c r="L25" s="21"/>
    </row>
  </sheetData>
  <dataValidations count="3">
    <dataValidation type="list" showInputMessage="1" showErrorMessage="1" sqref="D15:D25">
      <formula1>$B$4:$B$6</formula1>
    </dataValidation>
    <dataValidation type="list" allowBlank="1" showInputMessage="1" showErrorMessage="1" sqref="E15:E25">
      <formula1>$C$4:$C$6</formula1>
    </dataValidation>
    <dataValidation type="textLength" operator="equal" allowBlank="1" showInputMessage="1" showErrorMessage="1" sqref="F2">
      <formula1>4</formula1>
    </dataValidation>
  </dataValidations>
  <hyperlinks>
    <hyperlink ref="H1" location="'Daftar Tabel'!A1" display="&lt;&lt;&lt; Daftar Tabel"/>
  </hyperlink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Normal="10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8.7109375" defaultRowHeight="15" x14ac:dyDescent="0.25"/>
  <cols>
    <col min="1" max="1" width="5.28515625" style="21" customWidth="1"/>
    <col min="2" max="2" width="26.7109375" style="21" customWidth="1"/>
    <col min="3" max="3" width="25.5703125" style="21" customWidth="1"/>
    <col min="4" max="5" width="21.140625" style="21" customWidth="1"/>
    <col min="6" max="6" width="21.28515625" style="21" customWidth="1"/>
    <col min="7" max="7" width="23.5703125" style="21" customWidth="1"/>
    <col min="8" max="8" width="14.7109375" style="75" bestFit="1" customWidth="1"/>
    <col min="9" max="12" width="8.7109375" style="75"/>
    <col min="13" max="16384" width="8.7109375" style="21"/>
  </cols>
  <sheetData>
    <row r="1" spans="1:12" x14ac:dyDescent="0.25">
      <c r="A1" s="21" t="s">
        <v>269</v>
      </c>
      <c r="G1" s="127" t="s">
        <v>374</v>
      </c>
      <c r="I1" s="21"/>
    </row>
    <row r="2" spans="1:12" x14ac:dyDescent="0.25">
      <c r="I2" s="21"/>
    </row>
    <row r="3" spans="1:12" s="75" customFormat="1" x14ac:dyDescent="0.25">
      <c r="A3" s="108" t="s">
        <v>307</v>
      </c>
      <c r="B3" s="21"/>
      <c r="C3" s="21"/>
      <c r="D3" s="21"/>
      <c r="E3" s="21"/>
      <c r="F3" s="113">
        <f>COUNTIFS(B8:B15,"*",C8:C15,"*")</f>
        <v>4</v>
      </c>
      <c r="G3" s="21"/>
      <c r="I3" s="21"/>
      <c r="J3" s="21"/>
    </row>
    <row r="4" spans="1:12" s="75" customFormat="1" x14ac:dyDescent="0.25">
      <c r="A4" s="21"/>
      <c r="B4" s="21"/>
      <c r="C4" s="21"/>
      <c r="D4" s="21"/>
      <c r="E4" s="21"/>
      <c r="F4" s="21"/>
      <c r="G4" s="21"/>
      <c r="I4" s="106"/>
    </row>
    <row r="5" spans="1:12" x14ac:dyDescent="0.25">
      <c r="A5" s="21" t="s">
        <v>400</v>
      </c>
      <c r="K5" s="21"/>
      <c r="L5" s="21"/>
    </row>
    <row r="6" spans="1:12" ht="25.5" x14ac:dyDescent="0.25">
      <c r="A6" s="131" t="s">
        <v>0</v>
      </c>
      <c r="B6" s="131" t="s">
        <v>301</v>
      </c>
      <c r="C6" s="131" t="s">
        <v>28</v>
      </c>
      <c r="D6" s="131" t="s">
        <v>302</v>
      </c>
      <c r="E6" s="131" t="s">
        <v>24</v>
      </c>
      <c r="F6" s="131" t="s">
        <v>8</v>
      </c>
      <c r="K6" s="21"/>
      <c r="L6" s="21"/>
    </row>
    <row r="7" spans="1:12" x14ac:dyDescent="0.25">
      <c r="A7" s="22">
        <v>1</v>
      </c>
      <c r="B7" s="22">
        <v>2</v>
      </c>
      <c r="C7" s="22">
        <v>3</v>
      </c>
      <c r="D7" s="22">
        <v>4</v>
      </c>
      <c r="E7" s="22">
        <v>5</v>
      </c>
      <c r="F7" s="22">
        <v>6</v>
      </c>
      <c r="K7" s="21"/>
      <c r="L7" s="21"/>
    </row>
    <row r="8" spans="1:12" x14ac:dyDescent="0.25">
      <c r="A8" s="50">
        <v>1</v>
      </c>
      <c r="B8" s="31" t="s">
        <v>339</v>
      </c>
      <c r="C8" s="31" t="s">
        <v>308</v>
      </c>
      <c r="D8" s="31"/>
      <c r="E8" s="31"/>
      <c r="F8" s="31"/>
      <c r="H8" s="106"/>
      <c r="I8" s="106"/>
      <c r="K8" s="21"/>
      <c r="L8" s="21"/>
    </row>
    <row r="9" spans="1:12" x14ac:dyDescent="0.25">
      <c r="A9" s="50">
        <v>2</v>
      </c>
      <c r="B9" s="31" t="s">
        <v>339</v>
      </c>
      <c r="C9" s="31" t="s">
        <v>342</v>
      </c>
      <c r="D9" s="31"/>
      <c r="E9" s="31"/>
      <c r="F9" s="31"/>
      <c r="H9" s="106"/>
      <c r="I9" s="106"/>
      <c r="K9" s="21"/>
      <c r="L9" s="21"/>
    </row>
    <row r="10" spans="1:12" x14ac:dyDescent="0.25">
      <c r="A10" s="50">
        <v>3</v>
      </c>
      <c r="B10" s="31" t="s">
        <v>340</v>
      </c>
      <c r="C10" s="31" t="s">
        <v>343</v>
      </c>
      <c r="D10" s="31"/>
      <c r="E10" s="31"/>
      <c r="F10" s="31"/>
      <c r="H10" s="106"/>
      <c r="I10" s="106"/>
      <c r="K10" s="21"/>
      <c r="L10" s="21"/>
    </row>
    <row r="11" spans="1:12" x14ac:dyDescent="0.25">
      <c r="A11" s="50">
        <v>4</v>
      </c>
      <c r="B11" s="31" t="s">
        <v>340</v>
      </c>
      <c r="C11" s="31" t="s">
        <v>309</v>
      </c>
      <c r="D11" s="31"/>
      <c r="E11" s="31"/>
      <c r="F11" s="31"/>
      <c r="H11" s="106"/>
      <c r="I11" s="106"/>
    </row>
    <row r="12" spans="1:12" x14ac:dyDescent="0.25">
      <c r="A12" s="50">
        <v>5</v>
      </c>
      <c r="B12" s="31" t="s">
        <v>340</v>
      </c>
      <c r="C12" s="31"/>
      <c r="D12" s="31"/>
      <c r="E12" s="31"/>
      <c r="F12" s="31"/>
      <c r="H12" s="106"/>
      <c r="I12" s="106"/>
    </row>
    <row r="13" spans="1:12" x14ac:dyDescent="0.25">
      <c r="A13" s="50">
        <v>6</v>
      </c>
      <c r="B13" s="31" t="s">
        <v>341</v>
      </c>
      <c r="C13" s="31"/>
      <c r="D13" s="31"/>
      <c r="E13" s="31"/>
      <c r="F13" s="31"/>
      <c r="H13" s="106"/>
      <c r="I13" s="106"/>
    </row>
    <row r="14" spans="1:12" x14ac:dyDescent="0.25">
      <c r="A14" s="50">
        <v>7</v>
      </c>
      <c r="B14" s="31"/>
      <c r="C14" s="31" t="s">
        <v>344</v>
      </c>
      <c r="D14" s="31"/>
      <c r="E14" s="31"/>
      <c r="F14" s="31"/>
      <c r="H14" s="106"/>
      <c r="I14" s="106"/>
    </row>
    <row r="15" spans="1:12" x14ac:dyDescent="0.25">
      <c r="A15" s="50" t="s">
        <v>26</v>
      </c>
      <c r="B15" s="31"/>
      <c r="C15" s="31"/>
      <c r="D15" s="31"/>
      <c r="E15" s="31"/>
      <c r="F15" s="31"/>
      <c r="H15" s="106"/>
      <c r="I15" s="106"/>
    </row>
  </sheetData>
  <hyperlinks>
    <hyperlink ref="G1" location="'Daftar Tabel'!A1" display="&lt;&lt;&lt; Daftar Tabel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7109375" defaultRowHeight="15" x14ac:dyDescent="0.25"/>
  <cols>
    <col min="1" max="1" width="5.28515625" style="21" customWidth="1"/>
    <col min="2" max="2" width="26.7109375" style="21" customWidth="1"/>
    <col min="3" max="3" width="25.5703125" style="21" customWidth="1"/>
    <col min="4" max="5" width="21.140625" style="21" customWidth="1"/>
    <col min="6" max="6" width="14.28515625" style="21" customWidth="1"/>
    <col min="7" max="7" width="23.5703125" style="21" customWidth="1"/>
    <col min="8" max="8" width="14.7109375" style="75" bestFit="1" customWidth="1"/>
    <col min="9" max="12" width="8.7109375" style="75"/>
    <col min="13" max="16384" width="8.7109375" style="21"/>
  </cols>
  <sheetData>
    <row r="1" spans="1:12" x14ac:dyDescent="0.25">
      <c r="A1" s="21" t="s">
        <v>269</v>
      </c>
      <c r="F1" s="127" t="s">
        <v>374</v>
      </c>
      <c r="I1" s="21"/>
    </row>
    <row r="2" spans="1:12" x14ac:dyDescent="0.25">
      <c r="I2" s="21"/>
    </row>
    <row r="3" spans="1:12" x14ac:dyDescent="0.25">
      <c r="A3" s="21" t="s">
        <v>401</v>
      </c>
    </row>
    <row r="4" spans="1:12" x14ac:dyDescent="0.25">
      <c r="A4" s="131" t="s">
        <v>0</v>
      </c>
      <c r="B4" s="131" t="s">
        <v>270</v>
      </c>
      <c r="C4" s="131" t="s">
        <v>108</v>
      </c>
      <c r="D4" s="131" t="s">
        <v>25</v>
      </c>
      <c r="E4" s="107" t="s">
        <v>8</v>
      </c>
    </row>
    <row r="5" spans="1:12" x14ac:dyDescent="0.25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75"/>
      <c r="G5" s="75"/>
      <c r="J5" s="21"/>
      <c r="K5" s="21"/>
      <c r="L5" s="21"/>
    </row>
    <row r="6" spans="1:12" x14ac:dyDescent="0.25">
      <c r="A6" s="50">
        <v>1</v>
      </c>
      <c r="B6" s="31"/>
      <c r="C6" s="31"/>
      <c r="D6" s="31"/>
      <c r="E6" s="31"/>
      <c r="F6" s="75"/>
      <c r="G6" s="75"/>
      <c r="J6" s="21"/>
      <c r="K6" s="21"/>
      <c r="L6" s="21"/>
    </row>
    <row r="7" spans="1:12" x14ac:dyDescent="0.25">
      <c r="A7" s="50">
        <v>2</v>
      </c>
      <c r="B7" s="31"/>
      <c r="C7" s="31"/>
      <c r="D7" s="31"/>
      <c r="E7" s="31"/>
      <c r="F7" s="75"/>
      <c r="G7" s="75"/>
      <c r="J7" s="21"/>
      <c r="K7" s="21"/>
      <c r="L7" s="21"/>
    </row>
    <row r="8" spans="1:12" x14ac:dyDescent="0.25">
      <c r="A8" s="50">
        <v>3</v>
      </c>
      <c r="B8" s="31"/>
      <c r="C8" s="31"/>
      <c r="D8" s="31"/>
      <c r="E8" s="31"/>
      <c r="F8" s="75"/>
      <c r="G8" s="75"/>
      <c r="J8" s="21"/>
      <c r="K8" s="21"/>
      <c r="L8" s="21"/>
    </row>
    <row r="9" spans="1:12" x14ac:dyDescent="0.25">
      <c r="A9" s="50" t="s">
        <v>26</v>
      </c>
      <c r="B9" s="31"/>
      <c r="C9" s="31"/>
      <c r="D9" s="31"/>
      <c r="E9" s="31"/>
      <c r="F9" s="75"/>
      <c r="G9" s="75"/>
      <c r="J9" s="21"/>
      <c r="K9" s="21"/>
      <c r="L9" s="21"/>
    </row>
  </sheetData>
  <hyperlinks>
    <hyperlink ref="F1" location="'Daftar Tabel'!A1" display="&lt;&lt;&lt; Daftar Tabel"/>
  </hyperlink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C7" sqref="C7"/>
    </sheetView>
  </sheetViews>
  <sheetFormatPr defaultColWidth="8.7109375" defaultRowHeight="15" x14ac:dyDescent="0.25"/>
  <cols>
    <col min="1" max="1" width="4.7109375" style="21" customWidth="1"/>
    <col min="2" max="2" width="21.7109375" style="21" customWidth="1"/>
    <col min="3" max="14" width="5.7109375" style="21" customWidth="1"/>
    <col min="15" max="15" width="8.7109375" style="21"/>
    <col min="16" max="16" width="14.7109375" style="21" bestFit="1" customWidth="1"/>
    <col min="17" max="16384" width="8.7109375" style="21"/>
  </cols>
  <sheetData>
    <row r="1" spans="1:16" x14ac:dyDescent="0.25">
      <c r="A1" s="21" t="s">
        <v>79</v>
      </c>
      <c r="P1" s="127" t="s">
        <v>374</v>
      </c>
    </row>
    <row r="3" spans="1:16" x14ac:dyDescent="0.25">
      <c r="A3" s="145" t="s">
        <v>0</v>
      </c>
      <c r="B3" s="145" t="s">
        <v>29</v>
      </c>
      <c r="C3" s="145" t="s">
        <v>30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 t="s">
        <v>31</v>
      </c>
    </row>
    <row r="4" spans="1:16" x14ac:dyDescent="0.25">
      <c r="A4" s="145"/>
      <c r="B4" s="145"/>
      <c r="C4" s="145" t="s">
        <v>32</v>
      </c>
      <c r="D4" s="145"/>
      <c r="E4" s="145"/>
      <c r="F4" s="145" t="s">
        <v>14</v>
      </c>
      <c r="G4" s="145"/>
      <c r="H4" s="145"/>
      <c r="I4" s="145" t="s">
        <v>33</v>
      </c>
      <c r="J4" s="145"/>
      <c r="K4" s="145"/>
      <c r="L4" s="145"/>
      <c r="M4" s="145"/>
      <c r="N4" s="145"/>
      <c r="O4" s="145"/>
    </row>
    <row r="5" spans="1:16" ht="30" x14ac:dyDescent="0.25">
      <c r="A5" s="145"/>
      <c r="B5" s="145"/>
      <c r="C5" s="28" t="s">
        <v>34</v>
      </c>
      <c r="D5" s="28" t="s">
        <v>35</v>
      </c>
      <c r="E5" s="28" t="s">
        <v>36</v>
      </c>
      <c r="F5" s="28" t="s">
        <v>37</v>
      </c>
      <c r="G5" s="28" t="s">
        <v>38</v>
      </c>
      <c r="H5" s="28" t="s">
        <v>39</v>
      </c>
      <c r="I5" s="28" t="s">
        <v>40</v>
      </c>
      <c r="J5" s="28" t="s">
        <v>41</v>
      </c>
      <c r="K5" s="28" t="s">
        <v>42</v>
      </c>
      <c r="L5" s="28" t="s">
        <v>43</v>
      </c>
      <c r="M5" s="28" t="s">
        <v>44</v>
      </c>
      <c r="N5" s="28" t="s">
        <v>45</v>
      </c>
      <c r="O5" s="145"/>
    </row>
    <row r="6" spans="1:16" x14ac:dyDescent="0.25">
      <c r="A6" s="35">
        <v>1</v>
      </c>
      <c r="B6" s="35">
        <v>2</v>
      </c>
      <c r="C6" s="35">
        <v>3</v>
      </c>
      <c r="D6" s="35">
        <v>4</v>
      </c>
      <c r="E6" s="35">
        <v>5</v>
      </c>
      <c r="F6" s="35">
        <v>6</v>
      </c>
      <c r="G6" s="35">
        <v>7</v>
      </c>
      <c r="H6" s="35">
        <v>8</v>
      </c>
      <c r="I6" s="35">
        <v>9</v>
      </c>
      <c r="J6" s="35">
        <v>10</v>
      </c>
      <c r="K6" s="35">
        <v>11</v>
      </c>
      <c r="L6" s="35">
        <v>12</v>
      </c>
      <c r="M6" s="35">
        <v>13</v>
      </c>
      <c r="N6" s="35">
        <v>14</v>
      </c>
      <c r="O6" s="35">
        <v>15</v>
      </c>
    </row>
    <row r="7" spans="1:16" x14ac:dyDescent="0.25">
      <c r="A7" s="25">
        <v>1</v>
      </c>
      <c r="B7" s="26" t="s">
        <v>46</v>
      </c>
      <c r="C7" s="68"/>
      <c r="D7" s="68"/>
      <c r="E7" s="68"/>
      <c r="F7" s="68"/>
      <c r="G7" s="68"/>
      <c r="H7" s="68"/>
      <c r="I7" s="68"/>
      <c r="J7" s="68"/>
      <c r="K7" s="68"/>
      <c r="L7" s="68"/>
      <c r="M7" s="68"/>
      <c r="N7" s="68"/>
      <c r="O7" s="25">
        <f>SUM(C7:N7)</f>
        <v>0</v>
      </c>
    </row>
    <row r="8" spans="1:16" x14ac:dyDescent="0.25">
      <c r="A8" s="25">
        <v>2</v>
      </c>
      <c r="B8" s="26" t="s">
        <v>47</v>
      </c>
      <c r="C8" s="68"/>
      <c r="D8" s="68"/>
      <c r="E8" s="68">
        <v>2</v>
      </c>
      <c r="F8" s="68"/>
      <c r="G8" s="68"/>
      <c r="H8" s="68"/>
      <c r="I8" s="68"/>
      <c r="J8" s="68"/>
      <c r="K8" s="68"/>
      <c r="L8" s="68"/>
      <c r="M8" s="68"/>
      <c r="N8" s="68"/>
      <c r="O8" s="25">
        <f t="shared" ref="O8:O15" si="0">SUM(C8:N8)</f>
        <v>2</v>
      </c>
    </row>
    <row r="9" spans="1:16" ht="30" x14ac:dyDescent="0.25">
      <c r="A9" s="25">
        <v>3</v>
      </c>
      <c r="B9" s="26" t="s">
        <v>48</v>
      </c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25">
        <f t="shared" si="0"/>
        <v>0</v>
      </c>
    </row>
    <row r="10" spans="1:16" x14ac:dyDescent="0.25">
      <c r="A10" s="25">
        <v>4</v>
      </c>
      <c r="B10" s="26" t="s">
        <v>49</v>
      </c>
      <c r="C10" s="68"/>
      <c r="D10" s="68">
        <v>2</v>
      </c>
      <c r="E10" s="68">
        <v>6</v>
      </c>
      <c r="F10" s="68"/>
      <c r="G10" s="68"/>
      <c r="H10" s="68">
        <v>2</v>
      </c>
      <c r="I10" s="68"/>
      <c r="J10" s="68"/>
      <c r="K10" s="68"/>
      <c r="L10" s="68">
        <v>4</v>
      </c>
      <c r="M10" s="68"/>
      <c r="N10" s="68"/>
      <c r="O10" s="25">
        <f t="shared" si="0"/>
        <v>14</v>
      </c>
    </row>
    <row r="11" spans="1:16" x14ac:dyDescent="0.25">
      <c r="A11" s="25">
        <v>5</v>
      </c>
      <c r="B11" s="26" t="s">
        <v>50</v>
      </c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25">
        <f t="shared" si="0"/>
        <v>0</v>
      </c>
    </row>
    <row r="12" spans="1:16" x14ac:dyDescent="0.25">
      <c r="A12" s="25">
        <v>6</v>
      </c>
      <c r="B12" s="26" t="s">
        <v>51</v>
      </c>
      <c r="C12" s="68"/>
      <c r="D12" s="68"/>
      <c r="E12" s="68">
        <v>1</v>
      </c>
      <c r="F12" s="68"/>
      <c r="G12" s="68"/>
      <c r="H12" s="68">
        <v>1</v>
      </c>
      <c r="I12" s="68"/>
      <c r="J12" s="68"/>
      <c r="K12" s="68"/>
      <c r="L12" s="68"/>
      <c r="M12" s="68"/>
      <c r="N12" s="68"/>
      <c r="O12" s="25">
        <f t="shared" si="0"/>
        <v>2</v>
      </c>
    </row>
    <row r="13" spans="1:16" ht="30" x14ac:dyDescent="0.25">
      <c r="A13" s="25">
        <v>7</v>
      </c>
      <c r="B13" s="26" t="s">
        <v>52</v>
      </c>
      <c r="C13" s="68"/>
      <c r="D13" s="68"/>
      <c r="E13" s="68">
        <v>2</v>
      </c>
      <c r="F13" s="68"/>
      <c r="G13" s="68"/>
      <c r="H13" s="68"/>
      <c r="I13" s="68"/>
      <c r="J13" s="68"/>
      <c r="K13" s="68"/>
      <c r="L13" s="68"/>
      <c r="M13" s="68"/>
      <c r="N13" s="68"/>
      <c r="O13" s="25">
        <f t="shared" si="0"/>
        <v>2</v>
      </c>
    </row>
    <row r="14" spans="1:16" ht="30" x14ac:dyDescent="0.25">
      <c r="A14" s="25">
        <v>8</v>
      </c>
      <c r="B14" s="26" t="s">
        <v>53</v>
      </c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25">
        <f t="shared" si="0"/>
        <v>0</v>
      </c>
    </row>
    <row r="15" spans="1:16" x14ac:dyDescent="0.25">
      <c r="A15" s="144" t="s">
        <v>31</v>
      </c>
      <c r="B15" s="144"/>
      <c r="C15" s="25">
        <f>SUM(C7:C14)</f>
        <v>0</v>
      </c>
      <c r="D15" s="25">
        <f t="shared" ref="D15:N15" si="1">SUM(D7:D14)</f>
        <v>2</v>
      </c>
      <c r="E15" s="25">
        <f t="shared" si="1"/>
        <v>11</v>
      </c>
      <c r="F15" s="25">
        <f t="shared" si="1"/>
        <v>0</v>
      </c>
      <c r="G15" s="25">
        <f t="shared" si="1"/>
        <v>0</v>
      </c>
      <c r="H15" s="25">
        <f t="shared" si="1"/>
        <v>3</v>
      </c>
      <c r="I15" s="25">
        <f t="shared" si="1"/>
        <v>0</v>
      </c>
      <c r="J15" s="25">
        <f t="shared" si="1"/>
        <v>0</v>
      </c>
      <c r="K15" s="25">
        <f t="shared" si="1"/>
        <v>0</v>
      </c>
      <c r="L15" s="25">
        <f t="shared" si="1"/>
        <v>4</v>
      </c>
      <c r="M15" s="25">
        <f t="shared" si="1"/>
        <v>0</v>
      </c>
      <c r="N15" s="25">
        <f t="shared" si="1"/>
        <v>0</v>
      </c>
      <c r="O15" s="25">
        <f t="shared" si="0"/>
        <v>20</v>
      </c>
    </row>
  </sheetData>
  <mergeCells count="8">
    <mergeCell ref="A15:B15"/>
    <mergeCell ref="A3:A5"/>
    <mergeCell ref="B3:B5"/>
    <mergeCell ref="C3:N3"/>
    <mergeCell ref="O3:O5"/>
    <mergeCell ref="C4:E4"/>
    <mergeCell ref="F4:H4"/>
    <mergeCell ref="I4:N4"/>
  </mergeCells>
  <hyperlinks>
    <hyperlink ref="P1" location="'Daftar Tabel'!A1" display="&lt;&lt;&lt; Daftar Tabel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3" topLeftCell="A14" activePane="bottomLeft" state="frozen"/>
      <selection pane="bottomLeft" activeCell="B14" sqref="B14"/>
    </sheetView>
  </sheetViews>
  <sheetFormatPr defaultColWidth="8.7109375" defaultRowHeight="15" x14ac:dyDescent="0.25"/>
  <cols>
    <col min="1" max="1" width="4.7109375" style="21" customWidth="1"/>
    <col min="2" max="2" width="26.28515625" style="21" customWidth="1"/>
    <col min="3" max="5" width="8.7109375" style="21"/>
    <col min="6" max="6" width="25.28515625" style="21" customWidth="1"/>
    <col min="7" max="7" width="33.28515625" style="21" customWidth="1"/>
    <col min="8" max="8" width="14.7109375" style="21" bestFit="1" customWidth="1"/>
    <col min="9" max="16384" width="8.7109375" style="21"/>
  </cols>
  <sheetData>
    <row r="1" spans="1:8" x14ac:dyDescent="0.25">
      <c r="A1" s="21" t="s">
        <v>80</v>
      </c>
      <c r="H1" s="127" t="s">
        <v>374</v>
      </c>
    </row>
    <row r="3" spans="1:8" hidden="1" x14ac:dyDescent="0.25">
      <c r="B3" s="21" t="s">
        <v>310</v>
      </c>
    </row>
    <row r="4" spans="1:8" hidden="1" x14ac:dyDescent="0.25"/>
    <row r="5" spans="1:8" hidden="1" x14ac:dyDescent="0.25">
      <c r="B5" s="21" t="s">
        <v>7</v>
      </c>
    </row>
    <row r="6" spans="1:8" hidden="1" x14ac:dyDescent="0.25"/>
    <row r="7" spans="1:8" x14ac:dyDescent="0.25">
      <c r="A7" s="21" t="s">
        <v>313</v>
      </c>
      <c r="E7" s="113">
        <f>COUNTIFS(B14:B34,"*",C14:C34,"V")</f>
        <v>1</v>
      </c>
    </row>
    <row r="8" spans="1:8" x14ac:dyDescent="0.25">
      <c r="A8" s="21" t="s">
        <v>312</v>
      </c>
      <c r="E8" s="113">
        <f>COUNTIFS(B14:B34,"*",D14:D34,"V")</f>
        <v>4</v>
      </c>
    </row>
    <row r="9" spans="1:8" x14ac:dyDescent="0.25">
      <c r="A9" s="21" t="s">
        <v>311</v>
      </c>
      <c r="E9" s="113">
        <f>COUNTIFS(B14:B34,"*",E14:E34,"V")</f>
        <v>3</v>
      </c>
    </row>
    <row r="11" spans="1:8" ht="15" customHeight="1" x14ac:dyDescent="0.25">
      <c r="A11" s="146" t="s">
        <v>0</v>
      </c>
      <c r="B11" s="146" t="s">
        <v>345</v>
      </c>
      <c r="C11" s="146" t="s">
        <v>56</v>
      </c>
      <c r="D11" s="146"/>
      <c r="E11" s="146"/>
      <c r="F11" s="146" t="s">
        <v>54</v>
      </c>
      <c r="G11" s="146" t="s">
        <v>55</v>
      </c>
    </row>
    <row r="12" spans="1:8" ht="30" x14ac:dyDescent="0.25">
      <c r="A12" s="146"/>
      <c r="B12" s="146"/>
      <c r="C12" s="32" t="s">
        <v>57</v>
      </c>
      <c r="D12" s="32" t="s">
        <v>58</v>
      </c>
      <c r="E12" s="32" t="s">
        <v>319</v>
      </c>
      <c r="F12" s="146"/>
      <c r="G12" s="146"/>
    </row>
    <row r="13" spans="1:8" x14ac:dyDescent="0.25">
      <c r="A13" s="22">
        <v>1</v>
      </c>
      <c r="B13" s="22">
        <v>2</v>
      </c>
      <c r="C13" s="22">
        <v>3</v>
      </c>
      <c r="D13" s="22">
        <v>4</v>
      </c>
      <c r="E13" s="22">
        <v>5</v>
      </c>
      <c r="F13" s="22">
        <v>6</v>
      </c>
      <c r="G13" s="22">
        <v>7</v>
      </c>
    </row>
    <row r="14" spans="1:8" x14ac:dyDescent="0.25">
      <c r="A14" s="25">
        <v>1</v>
      </c>
      <c r="B14" s="27" t="s">
        <v>314</v>
      </c>
      <c r="C14" s="30"/>
      <c r="D14" s="30" t="s">
        <v>7</v>
      </c>
      <c r="E14" s="30"/>
      <c r="F14" s="27"/>
      <c r="G14" s="27"/>
    </row>
    <row r="15" spans="1:8" x14ac:dyDescent="0.25">
      <c r="A15" s="25">
        <v>2</v>
      </c>
      <c r="B15" s="27" t="s">
        <v>315</v>
      </c>
      <c r="C15" s="30" t="s">
        <v>7</v>
      </c>
      <c r="D15" s="30"/>
      <c r="E15" s="30"/>
      <c r="F15" s="27"/>
      <c r="G15" s="27"/>
    </row>
    <row r="16" spans="1:8" x14ac:dyDescent="0.25">
      <c r="A16" s="25">
        <v>3</v>
      </c>
      <c r="B16" s="27" t="s">
        <v>316</v>
      </c>
      <c r="C16" s="30"/>
      <c r="D16" s="30" t="s">
        <v>7</v>
      </c>
      <c r="E16" s="30"/>
      <c r="F16" s="27"/>
      <c r="G16" s="27"/>
    </row>
    <row r="17" spans="1:7" x14ac:dyDescent="0.25">
      <c r="A17" s="25">
        <v>4</v>
      </c>
      <c r="B17" s="27" t="s">
        <v>317</v>
      </c>
      <c r="C17" s="30"/>
      <c r="D17" s="30" t="s">
        <v>7</v>
      </c>
      <c r="E17" s="30"/>
      <c r="F17" s="27"/>
      <c r="G17" s="27"/>
    </row>
    <row r="18" spans="1:7" x14ac:dyDescent="0.25">
      <c r="A18" s="25">
        <v>5</v>
      </c>
      <c r="B18" s="27" t="s">
        <v>318</v>
      </c>
      <c r="C18" s="30"/>
      <c r="D18" s="30"/>
      <c r="E18" s="30" t="s">
        <v>7</v>
      </c>
      <c r="F18" s="27"/>
      <c r="G18" s="27"/>
    </row>
    <row r="19" spans="1:7" x14ac:dyDescent="0.25">
      <c r="A19" s="25">
        <v>6</v>
      </c>
      <c r="B19" s="27" t="s">
        <v>335</v>
      </c>
      <c r="C19" s="30"/>
      <c r="D19" s="30"/>
      <c r="E19" s="30" t="s">
        <v>7</v>
      </c>
      <c r="F19" s="27"/>
      <c r="G19" s="27"/>
    </row>
    <row r="20" spans="1:7" x14ac:dyDescent="0.25">
      <c r="A20" s="25">
        <v>7</v>
      </c>
      <c r="B20" s="27" t="s">
        <v>336</v>
      </c>
      <c r="C20" s="30"/>
      <c r="D20" s="30"/>
      <c r="E20" s="30" t="s">
        <v>7</v>
      </c>
      <c r="F20" s="27"/>
      <c r="G20" s="27"/>
    </row>
    <row r="21" spans="1:7" x14ac:dyDescent="0.25">
      <c r="A21" s="25">
        <v>8</v>
      </c>
      <c r="B21" s="27" t="s">
        <v>337</v>
      </c>
      <c r="C21" s="30"/>
      <c r="D21" s="30" t="s">
        <v>7</v>
      </c>
      <c r="E21" s="30"/>
      <c r="F21" s="27"/>
      <c r="G21" s="27"/>
    </row>
    <row r="22" spans="1:7" x14ac:dyDescent="0.25">
      <c r="A22" s="25">
        <v>9</v>
      </c>
      <c r="B22" s="27" t="s">
        <v>338</v>
      </c>
      <c r="C22" s="30"/>
      <c r="D22" s="30"/>
      <c r="E22" s="30"/>
      <c r="F22" s="27"/>
      <c r="G22" s="27"/>
    </row>
    <row r="23" spans="1:7" x14ac:dyDescent="0.25">
      <c r="A23" s="25">
        <v>10</v>
      </c>
      <c r="B23" s="27"/>
      <c r="C23" s="30" t="s">
        <v>7</v>
      </c>
      <c r="D23" s="30"/>
      <c r="E23" s="30"/>
      <c r="F23" s="27"/>
      <c r="G23" s="27"/>
    </row>
    <row r="24" spans="1:7" x14ac:dyDescent="0.25">
      <c r="A24" s="25">
        <v>11</v>
      </c>
      <c r="B24" s="27"/>
      <c r="C24" s="30"/>
      <c r="D24" s="30"/>
      <c r="E24" s="30"/>
      <c r="F24" s="27"/>
      <c r="G24" s="27"/>
    </row>
    <row r="25" spans="1:7" x14ac:dyDescent="0.25">
      <c r="A25" s="25">
        <v>12</v>
      </c>
      <c r="B25" s="27"/>
      <c r="C25" s="30"/>
      <c r="D25" s="30"/>
      <c r="E25" s="30"/>
      <c r="F25" s="27"/>
      <c r="G25" s="27"/>
    </row>
    <row r="26" spans="1:7" x14ac:dyDescent="0.25">
      <c r="A26" s="25">
        <v>13</v>
      </c>
      <c r="B26" s="27"/>
      <c r="C26" s="30"/>
      <c r="D26" s="30"/>
      <c r="E26" s="30"/>
      <c r="F26" s="27"/>
      <c r="G26" s="27"/>
    </row>
    <row r="27" spans="1:7" x14ac:dyDescent="0.25">
      <c r="A27" s="25">
        <v>14</v>
      </c>
      <c r="B27" s="27"/>
      <c r="C27" s="30"/>
      <c r="D27" s="30"/>
      <c r="E27" s="30"/>
      <c r="F27" s="27"/>
      <c r="G27" s="27"/>
    </row>
    <row r="28" spans="1:7" x14ac:dyDescent="0.25">
      <c r="A28" s="25">
        <v>15</v>
      </c>
      <c r="B28" s="27"/>
      <c r="C28" s="30"/>
      <c r="D28" s="30"/>
      <c r="E28" s="30"/>
      <c r="F28" s="27"/>
      <c r="G28" s="27"/>
    </row>
    <row r="29" spans="1:7" x14ac:dyDescent="0.25">
      <c r="A29" s="25">
        <v>16</v>
      </c>
      <c r="B29" s="27"/>
      <c r="C29" s="30"/>
      <c r="D29" s="30"/>
      <c r="E29" s="30"/>
      <c r="F29" s="27"/>
      <c r="G29" s="27"/>
    </row>
    <row r="30" spans="1:7" x14ac:dyDescent="0.25">
      <c r="A30" s="25">
        <v>17</v>
      </c>
      <c r="B30" s="27"/>
      <c r="C30" s="30"/>
      <c r="D30" s="30"/>
      <c r="E30" s="30"/>
      <c r="F30" s="27"/>
      <c r="G30" s="27"/>
    </row>
    <row r="31" spans="1:7" x14ac:dyDescent="0.25">
      <c r="A31" s="25">
        <v>18</v>
      </c>
      <c r="B31" s="27"/>
      <c r="C31" s="30"/>
      <c r="D31" s="30"/>
      <c r="E31" s="30"/>
      <c r="F31" s="27"/>
      <c r="G31" s="27"/>
    </row>
    <row r="32" spans="1:7" x14ac:dyDescent="0.25">
      <c r="A32" s="25">
        <v>19</v>
      </c>
      <c r="B32" s="27"/>
      <c r="C32" s="30"/>
      <c r="D32" s="30"/>
      <c r="E32" s="30"/>
      <c r="F32" s="27"/>
      <c r="G32" s="27"/>
    </row>
    <row r="33" spans="1:7" x14ac:dyDescent="0.25">
      <c r="A33" s="25">
        <v>20</v>
      </c>
      <c r="B33" s="27"/>
      <c r="C33" s="30"/>
      <c r="D33" s="30"/>
      <c r="E33" s="30"/>
      <c r="F33" s="27"/>
      <c r="G33" s="27"/>
    </row>
    <row r="34" spans="1:7" x14ac:dyDescent="0.25">
      <c r="A34" s="25" t="s">
        <v>26</v>
      </c>
      <c r="B34" s="27"/>
      <c r="C34" s="30"/>
      <c r="D34" s="30"/>
      <c r="E34" s="30"/>
      <c r="F34" s="27"/>
      <c r="G34" s="27"/>
    </row>
    <row r="36" spans="1:7" x14ac:dyDescent="0.25">
      <c r="A36" s="115" t="s">
        <v>27</v>
      </c>
    </row>
    <row r="37" spans="1:7" ht="17.25" x14ac:dyDescent="0.25">
      <c r="A37" s="117" t="s">
        <v>381</v>
      </c>
    </row>
  </sheetData>
  <mergeCells count="5">
    <mergeCell ref="G11:G12"/>
    <mergeCell ref="A11:A12"/>
    <mergeCell ref="B11:B12"/>
    <mergeCell ref="C11:E11"/>
    <mergeCell ref="F11:F12"/>
  </mergeCells>
  <conditionalFormatting sqref="C14:E14">
    <cfRule type="duplicateValues" dxfId="29" priority="14"/>
  </conditionalFormatting>
  <conditionalFormatting sqref="C15:E15">
    <cfRule type="duplicateValues" dxfId="28" priority="11"/>
  </conditionalFormatting>
  <conditionalFormatting sqref="C16:E16">
    <cfRule type="duplicateValues" dxfId="27" priority="10"/>
  </conditionalFormatting>
  <conditionalFormatting sqref="C17:E17">
    <cfRule type="duplicateValues" dxfId="26" priority="9"/>
  </conditionalFormatting>
  <conditionalFormatting sqref="C18:E18">
    <cfRule type="duplicateValues" dxfId="25" priority="8"/>
  </conditionalFormatting>
  <conditionalFormatting sqref="C19:E19">
    <cfRule type="duplicateValues" dxfId="24" priority="7"/>
  </conditionalFormatting>
  <conditionalFormatting sqref="C20:E20">
    <cfRule type="duplicateValues" dxfId="23" priority="6"/>
  </conditionalFormatting>
  <conditionalFormatting sqref="C21:E21">
    <cfRule type="duplicateValues" dxfId="22" priority="5"/>
  </conditionalFormatting>
  <conditionalFormatting sqref="C22:E22">
    <cfRule type="duplicateValues" dxfId="21" priority="4"/>
  </conditionalFormatting>
  <conditionalFormatting sqref="C23:E23">
    <cfRule type="duplicateValues" dxfId="20" priority="3"/>
  </conditionalFormatting>
  <conditionalFormatting sqref="C34:E34">
    <cfRule type="duplicateValues" dxfId="19" priority="2"/>
  </conditionalFormatting>
  <conditionalFormatting sqref="C24:E33">
    <cfRule type="duplicateValues" dxfId="18" priority="15"/>
  </conditionalFormatting>
  <dataValidations count="1">
    <dataValidation type="list" allowBlank="1" showInputMessage="1" showErrorMessage="1" sqref="C14:E34">
      <formula1>$B$4:$B$5</formula1>
    </dataValidation>
  </dataValidations>
  <hyperlinks>
    <hyperlink ref="H1" location="'Daftar Tabel'!A1" display="&lt;&lt;&lt; Daftar Tabel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</sheetPr>
  <dimension ref="A1:I56"/>
  <sheetViews>
    <sheetView zoomScale="150" zoomScaleNormal="150" workbookViewId="0">
      <pane ySplit="5" topLeftCell="A51" activePane="bottomLeft" state="frozen"/>
      <selection pane="bottomLeft" activeCell="D7" sqref="D7"/>
    </sheetView>
  </sheetViews>
  <sheetFormatPr defaultColWidth="8.7109375" defaultRowHeight="15" x14ac:dyDescent="0.25"/>
  <cols>
    <col min="1" max="1" width="12.28515625" style="21" customWidth="1"/>
    <col min="2" max="2" width="11.28515625" style="21" customWidth="1"/>
    <col min="3" max="8" width="10.7109375" style="21" customWidth="1"/>
    <col min="9" max="9" width="14.7109375" style="21" bestFit="1" customWidth="1"/>
    <col min="10" max="16384" width="8.7109375" style="21"/>
  </cols>
  <sheetData>
    <row r="1" spans="1:9" x14ac:dyDescent="0.25">
      <c r="A1" s="21" t="s">
        <v>81</v>
      </c>
      <c r="I1" s="127" t="s">
        <v>374</v>
      </c>
    </row>
    <row r="3" spans="1:9" ht="29.65" customHeight="1" x14ac:dyDescent="0.25">
      <c r="A3" s="152" t="s">
        <v>68</v>
      </c>
      <c r="B3" s="152" t="s">
        <v>59</v>
      </c>
      <c r="C3" s="150" t="s">
        <v>69</v>
      </c>
      <c r="D3" s="151"/>
      <c r="E3" s="150" t="s">
        <v>70</v>
      </c>
      <c r="F3" s="151"/>
      <c r="G3" s="150" t="s">
        <v>71</v>
      </c>
      <c r="H3" s="151"/>
    </row>
    <row r="4" spans="1:9" x14ac:dyDescent="0.25">
      <c r="A4" s="153"/>
      <c r="B4" s="153"/>
      <c r="C4" s="33" t="s">
        <v>72</v>
      </c>
      <c r="D4" s="33" t="s">
        <v>60</v>
      </c>
      <c r="E4" s="33" t="s">
        <v>61</v>
      </c>
      <c r="F4" s="33" t="s">
        <v>83</v>
      </c>
      <c r="G4" s="34" t="s">
        <v>61</v>
      </c>
      <c r="H4" s="33" t="s">
        <v>83</v>
      </c>
    </row>
    <row r="5" spans="1:9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6">
        <v>7</v>
      </c>
      <c r="H5" s="35">
        <v>8</v>
      </c>
    </row>
    <row r="6" spans="1:9" ht="14.65" customHeight="1" x14ac:dyDescent="0.25">
      <c r="A6" s="147" t="s">
        <v>240</v>
      </c>
      <c r="B6" s="148"/>
      <c r="C6" s="148"/>
      <c r="D6" s="148"/>
      <c r="E6" s="148"/>
      <c r="F6" s="148"/>
      <c r="G6" s="148"/>
      <c r="H6" s="149"/>
    </row>
    <row r="7" spans="1:9" x14ac:dyDescent="0.25">
      <c r="A7" s="37" t="s">
        <v>62</v>
      </c>
      <c r="B7" s="30"/>
      <c r="C7" s="30"/>
      <c r="D7" s="30"/>
      <c r="E7" s="30"/>
      <c r="F7" s="30"/>
      <c r="G7" s="38"/>
      <c r="H7" s="30"/>
    </row>
    <row r="8" spans="1:9" x14ac:dyDescent="0.25">
      <c r="A8" s="37" t="s">
        <v>63</v>
      </c>
      <c r="B8" s="30"/>
      <c r="C8" s="30"/>
      <c r="D8" s="30"/>
      <c r="E8" s="30"/>
      <c r="F8" s="30"/>
      <c r="G8" s="38"/>
      <c r="H8" s="30"/>
    </row>
    <row r="9" spans="1:9" x14ac:dyDescent="0.25">
      <c r="A9" s="37" t="s">
        <v>64</v>
      </c>
      <c r="B9" s="30"/>
      <c r="C9" s="30"/>
      <c r="D9" s="30"/>
      <c r="E9" s="30"/>
      <c r="F9" s="30"/>
      <c r="G9" s="38"/>
      <c r="H9" s="30"/>
    </row>
    <row r="10" spans="1:9" x14ac:dyDescent="0.25">
      <c r="A10" s="37" t="s">
        <v>65</v>
      </c>
      <c r="B10" s="30"/>
      <c r="C10" s="30"/>
      <c r="D10" s="30"/>
      <c r="E10" s="30"/>
      <c r="F10" s="30"/>
      <c r="G10" s="38"/>
      <c r="H10" s="30"/>
    </row>
    <row r="11" spans="1:9" x14ac:dyDescent="0.25">
      <c r="A11" s="37" t="s">
        <v>66</v>
      </c>
      <c r="B11" s="30"/>
      <c r="C11" s="30"/>
      <c r="D11" s="30"/>
      <c r="E11" s="30"/>
      <c r="F11" s="30"/>
      <c r="G11" s="38"/>
      <c r="H11" s="30"/>
    </row>
    <row r="12" spans="1:9" x14ac:dyDescent="0.25">
      <c r="A12" s="147" t="s">
        <v>31</v>
      </c>
      <c r="B12" s="149"/>
      <c r="C12" s="39">
        <f t="shared" ref="C12:F12" si="0">SUM(C7:C11)</f>
        <v>0</v>
      </c>
      <c r="D12" s="39">
        <f t="shared" si="0"/>
        <v>0</v>
      </c>
      <c r="E12" s="39">
        <f t="shared" si="0"/>
        <v>0</v>
      </c>
      <c r="F12" s="39">
        <f t="shared" si="0"/>
        <v>0</v>
      </c>
      <c r="G12" s="154">
        <f>SUM(G11:H11)</f>
        <v>0</v>
      </c>
      <c r="H12" s="155"/>
    </row>
    <row r="13" spans="1:9" ht="14.65" customHeight="1" x14ac:dyDescent="0.25">
      <c r="A13" s="147" t="s">
        <v>241</v>
      </c>
      <c r="B13" s="148"/>
      <c r="C13" s="148"/>
      <c r="D13" s="148"/>
      <c r="E13" s="148"/>
      <c r="F13" s="148"/>
      <c r="G13" s="148"/>
      <c r="H13" s="149"/>
    </row>
    <row r="14" spans="1:9" x14ac:dyDescent="0.25">
      <c r="A14" s="37" t="s">
        <v>62</v>
      </c>
      <c r="B14" s="30">
        <v>20</v>
      </c>
      <c r="C14" s="30">
        <v>21</v>
      </c>
      <c r="D14" s="30">
        <v>21</v>
      </c>
      <c r="E14" s="30">
        <v>21</v>
      </c>
      <c r="F14" s="30"/>
      <c r="G14" s="38">
        <v>36</v>
      </c>
      <c r="H14" s="30"/>
    </row>
    <row r="15" spans="1:9" x14ac:dyDescent="0.25">
      <c r="A15" s="37" t="s">
        <v>63</v>
      </c>
      <c r="B15" s="30">
        <v>20</v>
      </c>
      <c r="C15" s="30">
        <v>22</v>
      </c>
      <c r="D15" s="30">
        <v>22</v>
      </c>
      <c r="E15" s="30">
        <v>22</v>
      </c>
      <c r="F15" s="30"/>
      <c r="G15" s="38">
        <v>41</v>
      </c>
      <c r="H15" s="30"/>
    </row>
    <row r="16" spans="1:9" x14ac:dyDescent="0.25">
      <c r="A16" s="37" t="s">
        <v>64</v>
      </c>
      <c r="B16" s="30">
        <v>20</v>
      </c>
      <c r="C16" s="30">
        <v>10</v>
      </c>
      <c r="D16" s="30">
        <v>10</v>
      </c>
      <c r="E16" s="30">
        <v>10</v>
      </c>
      <c r="F16" s="40"/>
      <c r="G16" s="38">
        <v>30</v>
      </c>
      <c r="H16" s="30"/>
    </row>
    <row r="17" spans="1:8" x14ac:dyDescent="0.25">
      <c r="A17" s="37" t="s">
        <v>65</v>
      </c>
      <c r="B17" s="30">
        <v>20</v>
      </c>
      <c r="C17" s="30">
        <v>8</v>
      </c>
      <c r="D17" s="30">
        <v>8</v>
      </c>
      <c r="E17" s="30">
        <v>8</v>
      </c>
      <c r="F17" s="30"/>
      <c r="G17" s="38">
        <v>17</v>
      </c>
      <c r="H17" s="30"/>
    </row>
    <row r="18" spans="1:8" x14ac:dyDescent="0.25">
      <c r="A18" s="37" t="s">
        <v>66</v>
      </c>
      <c r="B18" s="30">
        <v>20</v>
      </c>
      <c r="C18" s="30">
        <v>17</v>
      </c>
      <c r="D18" s="30">
        <v>17</v>
      </c>
      <c r="E18" s="30">
        <v>17</v>
      </c>
      <c r="F18" s="30"/>
      <c r="G18" s="38">
        <v>26</v>
      </c>
      <c r="H18" s="30"/>
    </row>
    <row r="19" spans="1:8" x14ac:dyDescent="0.25">
      <c r="A19" s="147" t="s">
        <v>31</v>
      </c>
      <c r="B19" s="149"/>
      <c r="C19" s="39">
        <f t="shared" ref="C19:F19" si="1">SUM(C14:C18)</f>
        <v>78</v>
      </c>
      <c r="D19" s="39">
        <f t="shared" si="1"/>
        <v>78</v>
      </c>
      <c r="E19" s="39">
        <f t="shared" si="1"/>
        <v>78</v>
      </c>
      <c r="F19" s="39">
        <f t="shared" si="1"/>
        <v>0</v>
      </c>
      <c r="G19" s="154">
        <f>SUM(G18:H18)</f>
        <v>26</v>
      </c>
      <c r="H19" s="155"/>
    </row>
    <row r="20" spans="1:8" x14ac:dyDescent="0.25">
      <c r="A20" s="147" t="s">
        <v>247</v>
      </c>
      <c r="B20" s="148"/>
      <c r="C20" s="148"/>
      <c r="D20" s="148"/>
      <c r="E20" s="148"/>
      <c r="F20" s="148"/>
      <c r="G20" s="148"/>
      <c r="H20" s="149"/>
    </row>
    <row r="21" spans="1:8" x14ac:dyDescent="0.25">
      <c r="A21" s="73" t="s">
        <v>62</v>
      </c>
      <c r="B21" s="30">
        <v>120</v>
      </c>
      <c r="C21" s="30">
        <v>231</v>
      </c>
      <c r="D21" s="30">
        <v>201</v>
      </c>
      <c r="E21" s="30">
        <v>118</v>
      </c>
      <c r="F21" s="30"/>
      <c r="G21" s="30">
        <v>232</v>
      </c>
      <c r="H21" s="30"/>
    </row>
    <row r="22" spans="1:8" x14ac:dyDescent="0.25">
      <c r="A22" s="73" t="s">
        <v>63</v>
      </c>
      <c r="B22" s="30">
        <v>120</v>
      </c>
      <c r="C22" s="30">
        <v>254</v>
      </c>
      <c r="D22" s="30">
        <v>214</v>
      </c>
      <c r="E22" s="30">
        <v>110</v>
      </c>
      <c r="F22" s="30"/>
      <c r="G22" s="30">
        <v>228</v>
      </c>
      <c r="H22" s="30"/>
    </row>
    <row r="23" spans="1:8" x14ac:dyDescent="0.25">
      <c r="A23" s="73" t="s">
        <v>64</v>
      </c>
      <c r="B23" s="30">
        <v>120</v>
      </c>
      <c r="C23" s="30">
        <v>306</v>
      </c>
      <c r="D23" s="30">
        <v>285</v>
      </c>
      <c r="E23" s="30">
        <v>120</v>
      </c>
      <c r="F23" s="30"/>
      <c r="G23" s="30">
        <v>244</v>
      </c>
      <c r="H23" s="30"/>
    </row>
    <row r="24" spans="1:8" x14ac:dyDescent="0.25">
      <c r="A24" s="73" t="s">
        <v>65</v>
      </c>
      <c r="B24" s="30">
        <v>120</v>
      </c>
      <c r="C24" s="30">
        <v>311</v>
      </c>
      <c r="D24" s="30">
        <v>292</v>
      </c>
      <c r="E24" s="30">
        <v>119</v>
      </c>
      <c r="F24" s="30"/>
      <c r="G24" s="30">
        <v>238</v>
      </c>
      <c r="H24" s="30"/>
    </row>
    <row r="25" spans="1:8" x14ac:dyDescent="0.25">
      <c r="A25" s="73" t="s">
        <v>66</v>
      </c>
      <c r="B25" s="30">
        <v>120</v>
      </c>
      <c r="C25" s="30">
        <v>211</v>
      </c>
      <c r="D25" s="30">
        <v>210</v>
      </c>
      <c r="E25" s="30">
        <v>117</v>
      </c>
      <c r="F25" s="30"/>
      <c r="G25" s="30">
        <v>226</v>
      </c>
      <c r="H25" s="30"/>
    </row>
    <row r="26" spans="1:8" x14ac:dyDescent="0.25">
      <c r="A26" s="147" t="s">
        <v>31</v>
      </c>
      <c r="B26" s="149"/>
      <c r="C26" s="72">
        <f t="shared" ref="C26:F26" si="2">SUM(C21:C25)</f>
        <v>1313</v>
      </c>
      <c r="D26" s="72">
        <f t="shared" si="2"/>
        <v>1202</v>
      </c>
      <c r="E26" s="72">
        <f t="shared" si="2"/>
        <v>584</v>
      </c>
      <c r="F26" s="72">
        <f t="shared" si="2"/>
        <v>0</v>
      </c>
      <c r="G26" s="154">
        <f>SUM(G25:H25)</f>
        <v>226</v>
      </c>
      <c r="H26" s="155"/>
    </row>
    <row r="27" spans="1:8" x14ac:dyDescent="0.25">
      <c r="A27" s="147" t="s">
        <v>242</v>
      </c>
      <c r="B27" s="148"/>
      <c r="C27" s="148"/>
      <c r="D27" s="148"/>
      <c r="E27" s="148"/>
      <c r="F27" s="148"/>
      <c r="G27" s="148"/>
      <c r="H27" s="149"/>
    </row>
    <row r="28" spans="1:8" x14ac:dyDescent="0.25">
      <c r="A28" s="71" t="s">
        <v>62</v>
      </c>
      <c r="B28" s="30">
        <v>600</v>
      </c>
      <c r="C28" s="30">
        <v>1106</v>
      </c>
      <c r="D28" s="30">
        <v>1089</v>
      </c>
      <c r="E28" s="30">
        <v>576</v>
      </c>
      <c r="F28" s="30"/>
      <c r="G28" s="30">
        <v>2547</v>
      </c>
      <c r="H28" s="30"/>
    </row>
    <row r="29" spans="1:8" x14ac:dyDescent="0.25">
      <c r="A29" s="71" t="s">
        <v>63</v>
      </c>
      <c r="B29" s="30">
        <v>600</v>
      </c>
      <c r="C29" s="30">
        <v>976</v>
      </c>
      <c r="D29" s="30">
        <v>921</v>
      </c>
      <c r="E29" s="30">
        <v>586</v>
      </c>
      <c r="F29" s="30"/>
      <c r="G29" s="30">
        <v>2231</v>
      </c>
      <c r="H29" s="30"/>
    </row>
    <row r="30" spans="1:8" x14ac:dyDescent="0.25">
      <c r="A30" s="71" t="s">
        <v>64</v>
      </c>
      <c r="B30" s="30">
        <v>600</v>
      </c>
      <c r="C30" s="30">
        <v>1267</v>
      </c>
      <c r="D30" s="30">
        <v>1211</v>
      </c>
      <c r="E30" s="30">
        <v>589</v>
      </c>
      <c r="F30" s="30"/>
      <c r="G30" s="30">
        <v>2146</v>
      </c>
      <c r="H30" s="30"/>
    </row>
    <row r="31" spans="1:8" x14ac:dyDescent="0.25">
      <c r="A31" s="71" t="s">
        <v>65</v>
      </c>
      <c r="B31" s="30">
        <v>600</v>
      </c>
      <c r="C31" s="30">
        <v>1453</v>
      </c>
      <c r="D31" s="30">
        <v>1254</v>
      </c>
      <c r="E31" s="30">
        <v>523</v>
      </c>
      <c r="F31" s="30"/>
      <c r="G31" s="30">
        <v>2049</v>
      </c>
      <c r="H31" s="30"/>
    </row>
    <row r="32" spans="1:8" x14ac:dyDescent="0.25">
      <c r="A32" s="71" t="s">
        <v>66</v>
      </c>
      <c r="B32" s="30">
        <v>600</v>
      </c>
      <c r="C32" s="30">
        <v>1215</v>
      </c>
      <c r="D32" s="30">
        <v>1109</v>
      </c>
      <c r="E32" s="30">
        <v>600</v>
      </c>
      <c r="F32" s="30"/>
      <c r="G32" s="30">
        <v>2290</v>
      </c>
      <c r="H32" s="30"/>
    </row>
    <row r="33" spans="1:8" x14ac:dyDescent="0.25">
      <c r="A33" s="147" t="s">
        <v>31</v>
      </c>
      <c r="B33" s="149"/>
      <c r="C33" s="70">
        <f t="shared" ref="C33:F33" si="3">SUM(C28:C32)</f>
        <v>6017</v>
      </c>
      <c r="D33" s="70">
        <f t="shared" si="3"/>
        <v>5584</v>
      </c>
      <c r="E33" s="70">
        <f t="shared" si="3"/>
        <v>2874</v>
      </c>
      <c r="F33" s="70">
        <f t="shared" si="3"/>
        <v>0</v>
      </c>
      <c r="G33" s="154">
        <f>SUM(G32:H32)</f>
        <v>2290</v>
      </c>
      <c r="H33" s="155"/>
    </row>
    <row r="34" spans="1:8" x14ac:dyDescent="0.25">
      <c r="A34" s="147" t="s">
        <v>243</v>
      </c>
      <c r="B34" s="148"/>
      <c r="C34" s="148"/>
      <c r="D34" s="148"/>
      <c r="E34" s="148"/>
      <c r="F34" s="148"/>
      <c r="G34" s="148"/>
      <c r="H34" s="149"/>
    </row>
    <row r="35" spans="1:8" x14ac:dyDescent="0.25">
      <c r="A35" s="71" t="s">
        <v>62</v>
      </c>
      <c r="B35" s="30"/>
      <c r="C35" s="30"/>
      <c r="D35" s="30"/>
      <c r="E35" s="30"/>
      <c r="F35" s="30"/>
      <c r="G35" s="30"/>
      <c r="H35" s="30"/>
    </row>
    <row r="36" spans="1:8" x14ac:dyDescent="0.25">
      <c r="A36" s="71" t="s">
        <v>63</v>
      </c>
      <c r="B36" s="30"/>
      <c r="C36" s="30"/>
      <c r="D36" s="30"/>
      <c r="E36" s="30"/>
      <c r="F36" s="30"/>
      <c r="G36" s="30"/>
      <c r="H36" s="30"/>
    </row>
    <row r="37" spans="1:8" x14ac:dyDescent="0.25">
      <c r="A37" s="71" t="s">
        <v>64</v>
      </c>
      <c r="B37" s="30">
        <v>60</v>
      </c>
      <c r="C37" s="30">
        <v>87</v>
      </c>
      <c r="D37" s="30">
        <v>60</v>
      </c>
      <c r="E37" s="30">
        <v>60</v>
      </c>
      <c r="F37" s="30"/>
      <c r="G37" s="30">
        <v>60</v>
      </c>
      <c r="H37" s="30"/>
    </row>
    <row r="38" spans="1:8" x14ac:dyDescent="0.25">
      <c r="A38" s="71" t="s">
        <v>65</v>
      </c>
      <c r="B38" s="30">
        <v>120</v>
      </c>
      <c r="C38" s="30">
        <v>307</v>
      </c>
      <c r="D38" s="30">
        <v>272</v>
      </c>
      <c r="E38" s="30">
        <v>118</v>
      </c>
      <c r="F38" s="30"/>
      <c r="G38" s="30">
        <v>176</v>
      </c>
      <c r="H38" s="30"/>
    </row>
    <row r="39" spans="1:8" x14ac:dyDescent="0.25">
      <c r="A39" s="71" t="s">
        <v>66</v>
      </c>
      <c r="B39" s="30">
        <v>120</v>
      </c>
      <c r="C39" s="30">
        <v>411</v>
      </c>
      <c r="D39" s="30">
        <v>309</v>
      </c>
      <c r="E39" s="30">
        <v>116</v>
      </c>
      <c r="F39" s="30"/>
      <c r="G39" s="30">
        <v>290</v>
      </c>
      <c r="H39" s="30"/>
    </row>
    <row r="40" spans="1:8" x14ac:dyDescent="0.25">
      <c r="A40" s="147" t="s">
        <v>31</v>
      </c>
      <c r="B40" s="149"/>
      <c r="C40" s="70">
        <f t="shared" ref="C40:F40" si="4">SUM(C35:C39)</f>
        <v>805</v>
      </c>
      <c r="D40" s="70">
        <f t="shared" si="4"/>
        <v>641</v>
      </c>
      <c r="E40" s="70">
        <f t="shared" si="4"/>
        <v>294</v>
      </c>
      <c r="F40" s="70">
        <f t="shared" si="4"/>
        <v>0</v>
      </c>
      <c r="G40" s="154">
        <f>SUM(G39:H39)</f>
        <v>290</v>
      </c>
      <c r="H40" s="155"/>
    </row>
    <row r="41" spans="1:8" x14ac:dyDescent="0.25">
      <c r="A41" s="147" t="s">
        <v>244</v>
      </c>
      <c r="B41" s="148"/>
      <c r="C41" s="148"/>
      <c r="D41" s="148"/>
      <c r="E41" s="148"/>
      <c r="F41" s="148"/>
      <c r="G41" s="148"/>
      <c r="H41" s="149"/>
    </row>
    <row r="42" spans="1:8" x14ac:dyDescent="0.25">
      <c r="A42" s="71" t="s">
        <v>62</v>
      </c>
      <c r="B42" s="30"/>
      <c r="C42" s="30"/>
      <c r="D42" s="30"/>
      <c r="E42" s="30"/>
      <c r="F42" s="30"/>
      <c r="G42" s="30"/>
      <c r="H42" s="30"/>
    </row>
    <row r="43" spans="1:8" x14ac:dyDescent="0.25">
      <c r="A43" s="71" t="s">
        <v>63</v>
      </c>
      <c r="B43" s="30"/>
      <c r="C43" s="30"/>
      <c r="D43" s="30"/>
      <c r="E43" s="30"/>
      <c r="F43" s="30"/>
      <c r="G43" s="30"/>
      <c r="H43" s="30"/>
    </row>
    <row r="44" spans="1:8" x14ac:dyDescent="0.25">
      <c r="A44" s="71" t="s">
        <v>64</v>
      </c>
      <c r="B44" s="30"/>
      <c r="C44" s="30"/>
      <c r="D44" s="30"/>
      <c r="E44" s="30"/>
      <c r="F44" s="30"/>
      <c r="G44" s="30"/>
      <c r="H44" s="30"/>
    </row>
    <row r="45" spans="1:8" x14ac:dyDescent="0.25">
      <c r="A45" s="71" t="s">
        <v>65</v>
      </c>
      <c r="B45" s="30"/>
      <c r="C45" s="30"/>
      <c r="D45" s="30"/>
      <c r="E45" s="30"/>
      <c r="F45" s="30"/>
      <c r="G45" s="30"/>
      <c r="H45" s="30"/>
    </row>
    <row r="46" spans="1:8" x14ac:dyDescent="0.25">
      <c r="A46" s="71" t="s">
        <v>66</v>
      </c>
      <c r="B46" s="30"/>
      <c r="C46" s="30"/>
      <c r="D46" s="30"/>
      <c r="E46" s="30"/>
      <c r="F46" s="30"/>
      <c r="G46" s="30"/>
      <c r="H46" s="30"/>
    </row>
    <row r="47" spans="1:8" x14ac:dyDescent="0.25">
      <c r="A47" s="147" t="s">
        <v>31</v>
      </c>
      <c r="B47" s="149"/>
      <c r="C47" s="70">
        <f t="shared" ref="C47:F47" si="5">SUM(C42:C46)</f>
        <v>0</v>
      </c>
      <c r="D47" s="70">
        <f t="shared" si="5"/>
        <v>0</v>
      </c>
      <c r="E47" s="70">
        <f t="shared" si="5"/>
        <v>0</v>
      </c>
      <c r="F47" s="70">
        <f t="shared" si="5"/>
        <v>0</v>
      </c>
      <c r="G47" s="154">
        <f>SUM(G46:H46)</f>
        <v>0</v>
      </c>
      <c r="H47" s="155"/>
    </row>
    <row r="48" spans="1:8" x14ac:dyDescent="0.25">
      <c r="A48" s="147" t="s">
        <v>245</v>
      </c>
      <c r="B48" s="148"/>
      <c r="C48" s="148"/>
      <c r="D48" s="148"/>
      <c r="E48" s="148"/>
      <c r="F48" s="148"/>
      <c r="G48" s="148"/>
      <c r="H48" s="149"/>
    </row>
    <row r="49" spans="1:8" x14ac:dyDescent="0.25">
      <c r="A49" s="37" t="s">
        <v>62</v>
      </c>
      <c r="B49" s="30"/>
      <c r="C49" s="30"/>
      <c r="D49" s="30"/>
      <c r="E49" s="30"/>
      <c r="F49" s="30"/>
      <c r="G49" s="30"/>
      <c r="H49" s="30"/>
    </row>
    <row r="50" spans="1:8" x14ac:dyDescent="0.25">
      <c r="A50" s="37" t="s">
        <v>63</v>
      </c>
      <c r="B50" s="30"/>
      <c r="C50" s="30"/>
      <c r="D50" s="30"/>
      <c r="E50" s="30"/>
      <c r="F50" s="30"/>
      <c r="G50" s="30"/>
      <c r="H50" s="30"/>
    </row>
    <row r="51" spans="1:8" x14ac:dyDescent="0.25">
      <c r="A51" s="37" t="s">
        <v>64</v>
      </c>
      <c r="B51" s="30"/>
      <c r="C51" s="30"/>
      <c r="D51" s="30"/>
      <c r="E51" s="30"/>
      <c r="F51" s="30"/>
      <c r="G51" s="30"/>
      <c r="H51" s="30"/>
    </row>
    <row r="52" spans="1:8" x14ac:dyDescent="0.25">
      <c r="A52" s="37" t="s">
        <v>65</v>
      </c>
      <c r="B52" s="30"/>
      <c r="C52" s="30"/>
      <c r="D52" s="30"/>
      <c r="E52" s="30"/>
      <c r="F52" s="30"/>
      <c r="G52" s="30"/>
      <c r="H52" s="30"/>
    </row>
    <row r="53" spans="1:8" x14ac:dyDescent="0.25">
      <c r="A53" s="37" t="s">
        <v>66</v>
      </c>
      <c r="B53" s="30"/>
      <c r="C53" s="30"/>
      <c r="D53" s="30"/>
      <c r="E53" s="30"/>
      <c r="F53" s="30"/>
      <c r="G53" s="30"/>
      <c r="H53" s="30"/>
    </row>
    <row r="54" spans="1:8" x14ac:dyDescent="0.25">
      <c r="A54" s="147" t="s">
        <v>31</v>
      </c>
      <c r="B54" s="149"/>
      <c r="C54" s="39">
        <f t="shared" ref="C54:F54" si="6">SUM(C49:C53)</f>
        <v>0</v>
      </c>
      <c r="D54" s="39">
        <f t="shared" si="6"/>
        <v>0</v>
      </c>
      <c r="E54" s="39">
        <f t="shared" si="6"/>
        <v>0</v>
      </c>
      <c r="F54" s="39">
        <f t="shared" si="6"/>
        <v>0</v>
      </c>
      <c r="G54" s="154">
        <f>SUM(G53:H53)</f>
        <v>0</v>
      </c>
      <c r="H54" s="155"/>
    </row>
    <row r="55" spans="1:8" x14ac:dyDescent="0.25">
      <c r="A55" s="156" t="s">
        <v>67</v>
      </c>
      <c r="B55" s="156"/>
      <c r="C55" s="156">
        <f>C12+C19+C54+C33+C40+C47+C26</f>
        <v>8213</v>
      </c>
      <c r="D55" s="156">
        <f t="shared" ref="D55:F55" si="7">D12+D19+D54+D33+D40+D47+D26</f>
        <v>7505</v>
      </c>
      <c r="E55" s="156">
        <f t="shared" si="7"/>
        <v>3830</v>
      </c>
      <c r="F55" s="156">
        <f t="shared" si="7"/>
        <v>0</v>
      </c>
      <c r="G55" s="39">
        <f>G11+G18+G25+G32+G39+G46+G53</f>
        <v>2832</v>
      </c>
      <c r="H55" s="77">
        <f>H11+H18+H25+H32+H39+H46+H53</f>
        <v>0</v>
      </c>
    </row>
    <row r="56" spans="1:8" x14ac:dyDescent="0.25">
      <c r="A56" s="156"/>
      <c r="B56" s="156"/>
      <c r="C56" s="156"/>
      <c r="D56" s="156"/>
      <c r="E56" s="156"/>
      <c r="F56" s="156"/>
      <c r="G56" s="154">
        <f>G55+H55</f>
        <v>2832</v>
      </c>
      <c r="H56" s="155"/>
    </row>
  </sheetData>
  <mergeCells count="32">
    <mergeCell ref="G26:H26"/>
    <mergeCell ref="G33:H33"/>
    <mergeCell ref="G40:H40"/>
    <mergeCell ref="G47:H47"/>
    <mergeCell ref="G56:H56"/>
    <mergeCell ref="G54:H54"/>
    <mergeCell ref="A48:H48"/>
    <mergeCell ref="A41:H41"/>
    <mergeCell ref="E55:E56"/>
    <mergeCell ref="F55:F56"/>
    <mergeCell ref="A40:B40"/>
    <mergeCell ref="A54:B54"/>
    <mergeCell ref="A47:B47"/>
    <mergeCell ref="A55:B56"/>
    <mergeCell ref="C55:C56"/>
    <mergeCell ref="D55:D56"/>
    <mergeCell ref="A34:H34"/>
    <mergeCell ref="A27:H27"/>
    <mergeCell ref="G3:H3"/>
    <mergeCell ref="A3:A4"/>
    <mergeCell ref="B3:B4"/>
    <mergeCell ref="A6:H6"/>
    <mergeCell ref="A13:H13"/>
    <mergeCell ref="C3:D3"/>
    <mergeCell ref="E3:F3"/>
    <mergeCell ref="G12:H12"/>
    <mergeCell ref="A19:B19"/>
    <mergeCell ref="A12:B12"/>
    <mergeCell ref="A33:B33"/>
    <mergeCell ref="A26:B26"/>
    <mergeCell ref="A20:H20"/>
    <mergeCell ref="G19:H19"/>
  </mergeCells>
  <hyperlinks>
    <hyperlink ref="I1" location="'Daftar Tabel'!A1" display="&lt;&lt;&lt; Daftar Tabel"/>
  </hyperlink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33"/>
  </sheetPr>
  <dimension ref="A1:F12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1" sqref="F1"/>
    </sheetView>
  </sheetViews>
  <sheetFormatPr defaultColWidth="8.7109375" defaultRowHeight="15" x14ac:dyDescent="0.25"/>
  <cols>
    <col min="1" max="1" width="5.7109375" style="21" customWidth="1"/>
    <col min="2" max="2" width="37.42578125" style="21" customWidth="1"/>
    <col min="3" max="5" width="10.7109375" style="21" customWidth="1"/>
    <col min="6" max="6" width="14.7109375" style="21" bestFit="1" customWidth="1"/>
    <col min="7" max="16384" width="8.7109375" style="21"/>
  </cols>
  <sheetData>
    <row r="1" spans="1:6" x14ac:dyDescent="0.25">
      <c r="A1" s="21" t="s">
        <v>82</v>
      </c>
      <c r="F1" s="127" t="s">
        <v>374</v>
      </c>
    </row>
    <row r="3" spans="1:6" ht="19.899999999999999" customHeight="1" x14ac:dyDescent="0.25">
      <c r="A3" s="33" t="s">
        <v>0</v>
      </c>
      <c r="B3" s="33" t="s">
        <v>73</v>
      </c>
      <c r="C3" s="33" t="s">
        <v>64</v>
      </c>
      <c r="D3" s="33" t="s">
        <v>65</v>
      </c>
      <c r="E3" s="33" t="s">
        <v>66</v>
      </c>
    </row>
    <row r="4" spans="1:6" x14ac:dyDescent="0.25">
      <c r="A4" s="35">
        <v>1</v>
      </c>
      <c r="B4" s="35">
        <v>2</v>
      </c>
      <c r="C4" s="35">
        <v>3</v>
      </c>
      <c r="D4" s="35">
        <v>4</v>
      </c>
      <c r="E4" s="35">
        <v>5</v>
      </c>
    </row>
    <row r="5" spans="1:6" x14ac:dyDescent="0.25">
      <c r="A5" s="37">
        <v>1</v>
      </c>
      <c r="B5" s="31" t="s">
        <v>248</v>
      </c>
      <c r="C5" s="30">
        <v>3</v>
      </c>
      <c r="D5" s="30">
        <v>2</v>
      </c>
      <c r="E5" s="30"/>
    </row>
    <row r="6" spans="1:6" x14ac:dyDescent="0.25">
      <c r="A6" s="73">
        <v>2</v>
      </c>
      <c r="B6" s="31" t="s">
        <v>249</v>
      </c>
      <c r="C6" s="30"/>
      <c r="D6" s="30">
        <v>5</v>
      </c>
      <c r="E6" s="30">
        <v>8</v>
      </c>
    </row>
    <row r="7" spans="1:6" x14ac:dyDescent="0.25">
      <c r="A7" s="73">
        <v>3</v>
      </c>
      <c r="B7" s="31" t="s">
        <v>250</v>
      </c>
      <c r="C7" s="30"/>
      <c r="D7" s="30"/>
      <c r="E7" s="30"/>
    </row>
    <row r="8" spans="1:6" x14ac:dyDescent="0.25">
      <c r="A8" s="73">
        <v>4</v>
      </c>
      <c r="B8" s="31" t="s">
        <v>251</v>
      </c>
      <c r="C8" s="30"/>
      <c r="D8" s="30"/>
      <c r="E8" s="30"/>
    </row>
    <row r="9" spans="1:6" x14ac:dyDescent="0.25">
      <c r="A9" s="37">
        <v>5</v>
      </c>
      <c r="B9" s="31" t="s">
        <v>252</v>
      </c>
      <c r="C9" s="30"/>
      <c r="D9" s="30"/>
      <c r="E9" s="30"/>
    </row>
    <row r="10" spans="1:6" x14ac:dyDescent="0.25">
      <c r="A10" s="37" t="s">
        <v>74</v>
      </c>
      <c r="B10" s="31"/>
      <c r="C10" s="30"/>
      <c r="D10" s="30"/>
      <c r="E10" s="30"/>
    </row>
    <row r="11" spans="1:6" x14ac:dyDescent="0.25">
      <c r="A11" s="156" t="s">
        <v>31</v>
      </c>
      <c r="B11" s="156"/>
      <c r="C11" s="72">
        <f>SUM(C5:C10)</f>
        <v>3</v>
      </c>
      <c r="D11" s="72">
        <f t="shared" ref="D11:E11" si="0">SUM(D5:D10)</f>
        <v>7</v>
      </c>
      <c r="E11" s="72">
        <f t="shared" si="0"/>
        <v>8</v>
      </c>
    </row>
    <row r="12" spans="1:6" x14ac:dyDescent="0.25">
      <c r="A12" s="41"/>
      <c r="B12" s="41"/>
      <c r="C12" s="42"/>
      <c r="D12" s="42"/>
      <c r="E12" s="42"/>
    </row>
  </sheetData>
  <mergeCells count="1">
    <mergeCell ref="A11:B11"/>
  </mergeCells>
  <hyperlinks>
    <hyperlink ref="F1" location="'Daftar Tabel'!A1" display="&lt;&lt;&lt; Daftar Tabel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</sheetPr>
  <dimension ref="A1:G1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22" sqref="E22"/>
    </sheetView>
  </sheetViews>
  <sheetFormatPr defaultColWidth="8.7109375" defaultRowHeight="15" x14ac:dyDescent="0.25"/>
  <cols>
    <col min="1" max="1" width="5.7109375" style="21" customWidth="1"/>
    <col min="2" max="2" width="37.28515625" style="21" customWidth="1"/>
    <col min="3" max="6" width="12.7109375" style="21" customWidth="1"/>
    <col min="7" max="7" width="14.7109375" style="21" bestFit="1" customWidth="1"/>
    <col min="8" max="16384" width="8.7109375" style="21"/>
  </cols>
  <sheetData>
    <row r="1" spans="1:7" x14ac:dyDescent="0.25">
      <c r="A1" s="21" t="s">
        <v>78</v>
      </c>
      <c r="G1" s="127" t="s">
        <v>374</v>
      </c>
    </row>
    <row r="3" spans="1:7" x14ac:dyDescent="0.25">
      <c r="A3" s="157" t="s">
        <v>0</v>
      </c>
      <c r="B3" s="152" t="s">
        <v>91</v>
      </c>
      <c r="C3" s="157" t="s">
        <v>75</v>
      </c>
      <c r="D3" s="157"/>
      <c r="E3" s="157"/>
      <c r="F3" s="157" t="s">
        <v>31</v>
      </c>
    </row>
    <row r="4" spans="1:7" ht="51" x14ac:dyDescent="0.25">
      <c r="A4" s="157"/>
      <c r="B4" s="153"/>
      <c r="C4" s="33" t="s">
        <v>76</v>
      </c>
      <c r="D4" s="33" t="s">
        <v>77</v>
      </c>
      <c r="E4" s="33" t="s">
        <v>14</v>
      </c>
      <c r="F4" s="157"/>
    </row>
    <row r="5" spans="1:7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</row>
    <row r="6" spans="1:7" x14ac:dyDescent="0.25">
      <c r="A6" s="37">
        <v>1</v>
      </c>
      <c r="B6" s="43" t="s">
        <v>248</v>
      </c>
      <c r="C6" s="30">
        <v>7</v>
      </c>
      <c r="D6" s="30">
        <v>22</v>
      </c>
      <c r="E6" s="30"/>
      <c r="F6" s="50">
        <f>SUM(C6:E6)</f>
        <v>29</v>
      </c>
    </row>
    <row r="7" spans="1:7" x14ac:dyDescent="0.25">
      <c r="A7" s="74">
        <v>2</v>
      </c>
      <c r="B7" s="43" t="s">
        <v>249</v>
      </c>
      <c r="C7" s="30">
        <v>6</v>
      </c>
      <c r="D7" s="30">
        <v>19</v>
      </c>
      <c r="E7" s="30">
        <v>5</v>
      </c>
      <c r="F7" s="50">
        <f t="shared" ref="F7:F8" si="0">SUM(C7:E7)</f>
        <v>30</v>
      </c>
    </row>
    <row r="8" spans="1:7" x14ac:dyDescent="0.25">
      <c r="A8" s="74">
        <v>3</v>
      </c>
      <c r="B8" s="43" t="s">
        <v>250</v>
      </c>
      <c r="C8" s="30">
        <v>5</v>
      </c>
      <c r="D8" s="30">
        <v>21</v>
      </c>
      <c r="E8" s="30"/>
      <c r="F8" s="50">
        <f t="shared" si="0"/>
        <v>26</v>
      </c>
    </row>
    <row r="9" spans="1:7" x14ac:dyDescent="0.25">
      <c r="A9" s="37">
        <v>4</v>
      </c>
      <c r="B9" s="43" t="s">
        <v>251</v>
      </c>
      <c r="C9" s="30">
        <v>11</v>
      </c>
      <c r="D9" s="30">
        <v>29</v>
      </c>
      <c r="E9" s="30"/>
      <c r="F9" s="50">
        <f>SUM(C9:E9)</f>
        <v>40</v>
      </c>
    </row>
    <row r="10" spans="1:7" x14ac:dyDescent="0.25">
      <c r="A10" s="37">
        <v>5</v>
      </c>
      <c r="B10" s="43" t="s">
        <v>252</v>
      </c>
      <c r="C10" s="30"/>
      <c r="D10" s="30">
        <v>16</v>
      </c>
      <c r="E10" s="30"/>
      <c r="F10" s="50">
        <f>SUM(C10:E10)</f>
        <v>16</v>
      </c>
    </row>
    <row r="11" spans="1:7" x14ac:dyDescent="0.25">
      <c r="A11" s="37" t="s">
        <v>26</v>
      </c>
      <c r="B11" s="44"/>
      <c r="C11" s="30"/>
      <c r="D11" s="30"/>
      <c r="E11" s="30"/>
      <c r="F11" s="50"/>
    </row>
    <row r="12" spans="1:7" x14ac:dyDescent="0.25">
      <c r="A12" s="156" t="s">
        <v>31</v>
      </c>
      <c r="B12" s="156"/>
      <c r="C12" s="39">
        <f>SUM(C6:C11)</f>
        <v>29</v>
      </c>
      <c r="D12" s="39">
        <f>SUM(D6:D11)</f>
        <v>107</v>
      </c>
      <c r="E12" s="39">
        <f>SUM(E6:E11)</f>
        <v>5</v>
      </c>
      <c r="F12" s="39">
        <f>SUM(C12:E12)</f>
        <v>141</v>
      </c>
    </row>
  </sheetData>
  <mergeCells count="5">
    <mergeCell ref="A3:A4"/>
    <mergeCell ref="C3:E3"/>
    <mergeCell ref="F3:F4"/>
    <mergeCell ref="A12:B12"/>
    <mergeCell ref="B3:B4"/>
  </mergeCells>
  <hyperlinks>
    <hyperlink ref="G1" location="'Daftar Tabel'!A1" display="&lt;&lt;&lt; Daftar Tabel"/>
  </hyperlink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66FF33"/>
  </sheetPr>
  <dimension ref="A1:I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" sqref="I1"/>
    </sheetView>
  </sheetViews>
  <sheetFormatPr defaultColWidth="8.7109375" defaultRowHeight="15" x14ac:dyDescent="0.25"/>
  <cols>
    <col min="1" max="1" width="5.7109375" style="6" customWidth="1"/>
    <col min="2" max="2" width="24.140625" style="6" customWidth="1"/>
    <col min="3" max="8" width="10.7109375" style="6" customWidth="1"/>
    <col min="9" max="9" width="14.7109375" style="6" bestFit="1" customWidth="1"/>
    <col min="10" max="16384" width="8.7109375" style="6"/>
  </cols>
  <sheetData>
    <row r="1" spans="1:9" x14ac:dyDescent="0.25">
      <c r="A1" s="6" t="s">
        <v>84</v>
      </c>
      <c r="I1" s="127" t="s">
        <v>374</v>
      </c>
    </row>
    <row r="3" spans="1:9" x14ac:dyDescent="0.25">
      <c r="A3" s="157" t="s">
        <v>0</v>
      </c>
      <c r="B3" s="157" t="s">
        <v>85</v>
      </c>
      <c r="C3" s="157" t="s">
        <v>86</v>
      </c>
      <c r="D3" s="157"/>
      <c r="E3" s="157"/>
      <c r="F3" s="157"/>
      <c r="G3" s="157" t="s">
        <v>87</v>
      </c>
      <c r="H3" s="157" t="s">
        <v>31</v>
      </c>
    </row>
    <row r="4" spans="1:9" ht="25.5" x14ac:dyDescent="0.25">
      <c r="A4" s="157"/>
      <c r="B4" s="157"/>
      <c r="C4" s="33" t="s">
        <v>88</v>
      </c>
      <c r="D4" s="33" t="s">
        <v>89</v>
      </c>
      <c r="E4" s="33" t="s">
        <v>90</v>
      </c>
      <c r="F4" s="33" t="s">
        <v>246</v>
      </c>
      <c r="G4" s="157"/>
      <c r="H4" s="157"/>
    </row>
    <row r="5" spans="1:9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  <c r="H5" s="35">
        <v>8</v>
      </c>
    </row>
    <row r="6" spans="1:9" ht="25.5" x14ac:dyDescent="0.25">
      <c r="A6" s="37">
        <v>1</v>
      </c>
      <c r="B6" s="23" t="s">
        <v>76</v>
      </c>
      <c r="C6" s="30">
        <v>5</v>
      </c>
      <c r="D6" s="30">
        <v>10</v>
      </c>
      <c r="E6" s="30">
        <v>14</v>
      </c>
      <c r="F6" s="30"/>
      <c r="G6" s="30"/>
      <c r="H6" s="37">
        <f>SUM(C6:G6)</f>
        <v>29</v>
      </c>
    </row>
    <row r="7" spans="1:9" ht="25.5" x14ac:dyDescent="0.25">
      <c r="A7" s="37">
        <v>2</v>
      </c>
      <c r="B7" s="23" t="s">
        <v>77</v>
      </c>
      <c r="C7" s="30"/>
      <c r="D7" s="30">
        <v>24</v>
      </c>
      <c r="E7" s="30">
        <v>65</v>
      </c>
      <c r="F7" s="30">
        <v>12</v>
      </c>
      <c r="G7" s="30">
        <v>6</v>
      </c>
      <c r="H7" s="37">
        <f>SUM(C7:G7)</f>
        <v>107</v>
      </c>
    </row>
    <row r="8" spans="1:9" x14ac:dyDescent="0.25">
      <c r="A8" s="37">
        <v>3</v>
      </c>
      <c r="B8" s="23" t="s">
        <v>14</v>
      </c>
      <c r="C8" s="30"/>
      <c r="D8" s="30"/>
      <c r="E8" s="30"/>
      <c r="F8" s="30"/>
      <c r="G8" s="30">
        <v>5</v>
      </c>
      <c r="H8" s="37">
        <f>SUM(C8:G8)</f>
        <v>5</v>
      </c>
    </row>
    <row r="9" spans="1:9" x14ac:dyDescent="0.25">
      <c r="A9" s="156" t="s">
        <v>31</v>
      </c>
      <c r="B9" s="156"/>
      <c r="C9" s="39">
        <f>SUM(C6:C8)</f>
        <v>5</v>
      </c>
      <c r="D9" s="39">
        <f>SUM(D6:D8)</f>
        <v>34</v>
      </c>
      <c r="E9" s="39">
        <f>SUM(E6:E8)</f>
        <v>79</v>
      </c>
      <c r="F9" s="39">
        <f>SUM(F6:F8)</f>
        <v>12</v>
      </c>
      <c r="G9" s="39">
        <f>SUM(G6:G8)</f>
        <v>11</v>
      </c>
      <c r="H9" s="39">
        <f>SUM(C9:G9)</f>
        <v>141</v>
      </c>
    </row>
  </sheetData>
  <mergeCells count="6">
    <mergeCell ref="H3:H4"/>
    <mergeCell ref="A9:B9"/>
    <mergeCell ref="A3:A4"/>
    <mergeCell ref="B3:B4"/>
    <mergeCell ref="C3:F3"/>
    <mergeCell ref="G3:G4"/>
  </mergeCells>
  <hyperlinks>
    <hyperlink ref="I1" location="'Daftar Tabel'!A1" display="&lt;&lt;&lt; Daftar Tabel"/>
  </hyperlink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F26" sqref="F26"/>
    </sheetView>
  </sheetViews>
  <sheetFormatPr defaultColWidth="8.7109375" defaultRowHeight="15" x14ac:dyDescent="0.25"/>
  <cols>
    <col min="1" max="1" width="5.7109375" style="21" customWidth="1"/>
    <col min="2" max="2" width="43.85546875" style="21" customWidth="1"/>
    <col min="3" max="4" width="13" style="21" customWidth="1"/>
    <col min="5" max="5" width="14.7109375" style="21" bestFit="1" customWidth="1"/>
    <col min="6" max="16384" width="8.7109375" style="21"/>
  </cols>
  <sheetData>
    <row r="1" spans="1:5" x14ac:dyDescent="0.25">
      <c r="A1" s="21" t="s">
        <v>346</v>
      </c>
      <c r="E1" s="127" t="s">
        <v>374</v>
      </c>
    </row>
    <row r="3" spans="1:5" ht="26.65" customHeight="1" x14ac:dyDescent="0.25">
      <c r="A3" s="56" t="s">
        <v>0</v>
      </c>
      <c r="B3" s="33" t="s">
        <v>91</v>
      </c>
      <c r="C3" s="56" t="s">
        <v>92</v>
      </c>
      <c r="D3" s="56" t="s">
        <v>93</v>
      </c>
    </row>
    <row r="4" spans="1:5" x14ac:dyDescent="0.25">
      <c r="A4" s="35">
        <v>1</v>
      </c>
      <c r="B4" s="35">
        <v>2</v>
      </c>
      <c r="C4" s="35">
        <v>3</v>
      </c>
      <c r="D4" s="35">
        <v>4</v>
      </c>
    </row>
    <row r="5" spans="1:5" x14ac:dyDescent="0.25">
      <c r="A5" s="37">
        <v>1</v>
      </c>
      <c r="B5" s="43" t="s">
        <v>248</v>
      </c>
      <c r="C5" s="30">
        <v>29</v>
      </c>
      <c r="D5" s="30">
        <v>15</v>
      </c>
    </row>
    <row r="6" spans="1:5" x14ac:dyDescent="0.25">
      <c r="A6" s="76">
        <v>2</v>
      </c>
      <c r="B6" s="43" t="s">
        <v>249</v>
      </c>
      <c r="C6" s="30">
        <v>30</v>
      </c>
      <c r="D6" s="30">
        <v>23</v>
      </c>
    </row>
    <row r="7" spans="1:5" x14ac:dyDescent="0.25">
      <c r="A7" s="76">
        <v>3</v>
      </c>
      <c r="B7" s="43" t="s">
        <v>250</v>
      </c>
      <c r="C7" s="30">
        <v>26</v>
      </c>
      <c r="D7" s="30">
        <v>21</v>
      </c>
    </row>
    <row r="8" spans="1:5" x14ac:dyDescent="0.25">
      <c r="A8" s="76">
        <v>4</v>
      </c>
      <c r="B8" s="43" t="s">
        <v>251</v>
      </c>
      <c r="C8" s="30">
        <v>40</v>
      </c>
      <c r="D8" s="30">
        <v>39</v>
      </c>
    </row>
    <row r="9" spans="1:5" x14ac:dyDescent="0.25">
      <c r="A9" s="76">
        <v>5</v>
      </c>
      <c r="B9" s="43" t="s">
        <v>252</v>
      </c>
      <c r="C9" s="30">
        <v>16</v>
      </c>
      <c r="D9" s="30">
        <v>5</v>
      </c>
    </row>
    <row r="10" spans="1:5" x14ac:dyDescent="0.25">
      <c r="A10" s="37" t="s">
        <v>26</v>
      </c>
      <c r="B10" s="31"/>
      <c r="C10" s="30"/>
      <c r="D10" s="30"/>
    </row>
    <row r="11" spans="1:5" x14ac:dyDescent="0.25">
      <c r="A11" s="156" t="s">
        <v>31</v>
      </c>
      <c r="B11" s="156"/>
      <c r="C11" s="76">
        <f>SUM(C5:C10)</f>
        <v>141</v>
      </c>
      <c r="D11" s="76">
        <f>SUM(D5:D10)</f>
        <v>103</v>
      </c>
    </row>
  </sheetData>
  <mergeCells count="1">
    <mergeCell ref="A11:B11"/>
  </mergeCells>
  <hyperlinks>
    <hyperlink ref="E1" location="'Daftar Tabel'!A1" display="&lt;&lt;&lt; Daftar Tabel"/>
  </hyperlink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FF00"/>
  </sheetPr>
  <dimension ref="A1:I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7109375" defaultRowHeight="15" x14ac:dyDescent="0.25"/>
  <cols>
    <col min="1" max="1" width="5.7109375" style="21" customWidth="1"/>
    <col min="2" max="2" width="30.7109375" style="21" customWidth="1"/>
    <col min="3" max="8" width="10.7109375" style="21" customWidth="1"/>
    <col min="9" max="9" width="14.7109375" style="21" bestFit="1" customWidth="1"/>
    <col min="10" max="16384" width="8.7109375" style="21"/>
  </cols>
  <sheetData>
    <row r="1" spans="1:9" x14ac:dyDescent="0.25">
      <c r="A1" s="24" t="s">
        <v>94</v>
      </c>
      <c r="I1" s="127" t="s">
        <v>374</v>
      </c>
    </row>
    <row r="2" spans="1:9" x14ac:dyDescent="0.25">
      <c r="A2" s="24"/>
    </row>
    <row r="3" spans="1:9" x14ac:dyDescent="0.25">
      <c r="A3" s="158" t="s">
        <v>0</v>
      </c>
      <c r="B3" s="158" t="s">
        <v>85</v>
      </c>
      <c r="C3" s="158" t="s">
        <v>86</v>
      </c>
      <c r="D3" s="158"/>
      <c r="E3" s="158"/>
      <c r="F3" s="158"/>
      <c r="G3" s="158" t="s">
        <v>87</v>
      </c>
      <c r="H3" s="158" t="s">
        <v>31</v>
      </c>
    </row>
    <row r="4" spans="1:9" ht="25.5" x14ac:dyDescent="0.25">
      <c r="A4" s="158"/>
      <c r="B4" s="158"/>
      <c r="C4" s="59" t="s">
        <v>88</v>
      </c>
      <c r="D4" s="59" t="s">
        <v>89</v>
      </c>
      <c r="E4" s="59" t="s">
        <v>90</v>
      </c>
      <c r="F4" s="59" t="s">
        <v>246</v>
      </c>
      <c r="G4" s="158"/>
      <c r="H4" s="158"/>
    </row>
    <row r="5" spans="1:9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  <c r="H5" s="35">
        <v>8</v>
      </c>
    </row>
    <row r="6" spans="1:9" ht="25.5" x14ac:dyDescent="0.25">
      <c r="A6" s="37">
        <v>1</v>
      </c>
      <c r="B6" s="23" t="s">
        <v>76</v>
      </c>
      <c r="C6" s="30"/>
      <c r="D6" s="30"/>
      <c r="E6" s="30">
        <v>13</v>
      </c>
      <c r="F6" s="30"/>
      <c r="G6" s="30"/>
      <c r="H6" s="37">
        <f>SUM(C6:G6)</f>
        <v>13</v>
      </c>
    </row>
    <row r="7" spans="1:9" ht="25.5" x14ac:dyDescent="0.25">
      <c r="A7" s="37">
        <v>2</v>
      </c>
      <c r="B7" s="23" t="s">
        <v>77</v>
      </c>
      <c r="C7" s="30"/>
      <c r="D7" s="30"/>
      <c r="E7" s="30"/>
      <c r="F7" s="30">
        <v>24</v>
      </c>
      <c r="G7" s="30">
        <v>9</v>
      </c>
      <c r="H7" s="37">
        <f>SUM(C7:G7)</f>
        <v>33</v>
      </c>
    </row>
    <row r="8" spans="1:9" x14ac:dyDescent="0.25">
      <c r="A8" s="37">
        <v>3</v>
      </c>
      <c r="B8" s="23" t="s">
        <v>14</v>
      </c>
      <c r="C8" s="30"/>
      <c r="D8" s="30"/>
      <c r="E8" s="30"/>
      <c r="F8" s="30"/>
      <c r="G8" s="30"/>
      <c r="H8" s="37">
        <f>SUM(C8:G8)</f>
        <v>0</v>
      </c>
    </row>
    <row r="9" spans="1:9" x14ac:dyDescent="0.25">
      <c r="A9" s="156" t="s">
        <v>31</v>
      </c>
      <c r="B9" s="156"/>
      <c r="C9" s="39">
        <f>SUM(C6:C8)</f>
        <v>0</v>
      </c>
      <c r="D9" s="39">
        <f>SUM(D6:D8)</f>
        <v>0</v>
      </c>
      <c r="E9" s="39">
        <f>SUM(E6:E8)</f>
        <v>13</v>
      </c>
      <c r="F9" s="39">
        <f>SUM(F6:F8)</f>
        <v>24</v>
      </c>
      <c r="G9" s="39">
        <f>SUM(G6:G8)</f>
        <v>9</v>
      </c>
      <c r="H9" s="39">
        <f>SUM(C9:G9)</f>
        <v>46</v>
      </c>
    </row>
  </sheetData>
  <mergeCells count="6">
    <mergeCell ref="H3:H4"/>
    <mergeCell ref="A9:B9"/>
    <mergeCell ref="A3:A4"/>
    <mergeCell ref="B3:B4"/>
    <mergeCell ref="C3:F3"/>
    <mergeCell ref="G3:G4"/>
  </mergeCells>
  <hyperlinks>
    <hyperlink ref="I1" location="'Daftar Tabel'!A1" display="&lt;&lt;&lt; Daftar Tabel"/>
  </hyperlink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H25" sqref="H25"/>
    </sheetView>
  </sheetViews>
  <sheetFormatPr defaultColWidth="8.7109375" defaultRowHeight="15" x14ac:dyDescent="0.25"/>
  <cols>
    <col min="1" max="1" width="5.7109375" style="6" customWidth="1"/>
    <col min="2" max="2" width="30.7109375" style="6" customWidth="1"/>
    <col min="3" max="5" width="14.28515625" style="6" customWidth="1"/>
    <col min="6" max="6" width="14.7109375" style="6" bestFit="1" customWidth="1"/>
    <col min="7" max="16384" width="8.7109375" style="6"/>
  </cols>
  <sheetData>
    <row r="1" spans="1:6" x14ac:dyDescent="0.25">
      <c r="A1" s="24" t="s">
        <v>95</v>
      </c>
      <c r="B1" s="21"/>
      <c r="C1" s="21"/>
      <c r="D1" s="21"/>
      <c r="E1" s="21"/>
      <c r="F1" s="127" t="s">
        <v>374</v>
      </c>
    </row>
    <row r="2" spans="1:6" x14ac:dyDescent="0.25">
      <c r="A2" s="24"/>
      <c r="B2" s="21"/>
      <c r="C2" s="21"/>
      <c r="D2" s="21"/>
      <c r="E2" s="21"/>
    </row>
    <row r="3" spans="1:6" ht="26.65" customHeight="1" x14ac:dyDescent="0.25">
      <c r="A3" s="56" t="s">
        <v>0</v>
      </c>
      <c r="B3" s="33" t="s">
        <v>91</v>
      </c>
      <c r="C3" s="56" t="s">
        <v>92</v>
      </c>
      <c r="D3" s="56" t="s">
        <v>253</v>
      </c>
      <c r="E3" s="56" t="s">
        <v>254</v>
      </c>
    </row>
    <row r="4" spans="1:6" x14ac:dyDescent="0.25">
      <c r="A4" s="35">
        <v>1</v>
      </c>
      <c r="B4" s="35">
        <v>2</v>
      </c>
      <c r="C4" s="35">
        <v>3</v>
      </c>
      <c r="D4" s="35">
        <v>4</v>
      </c>
      <c r="E4" s="35">
        <v>5</v>
      </c>
    </row>
    <row r="5" spans="1:6" x14ac:dyDescent="0.25">
      <c r="A5" s="37">
        <v>1</v>
      </c>
      <c r="B5" s="43" t="s">
        <v>248</v>
      </c>
      <c r="C5" s="30">
        <v>29</v>
      </c>
      <c r="D5" s="30">
        <v>645</v>
      </c>
      <c r="E5" s="30">
        <v>184</v>
      </c>
    </row>
    <row r="6" spans="1:6" x14ac:dyDescent="0.25">
      <c r="A6" s="76">
        <v>2</v>
      </c>
      <c r="B6" s="43" t="s">
        <v>249</v>
      </c>
      <c r="C6" s="30">
        <v>30</v>
      </c>
      <c r="D6" s="30">
        <v>678</v>
      </c>
      <c r="E6" s="30">
        <v>205</v>
      </c>
    </row>
    <row r="7" spans="1:6" x14ac:dyDescent="0.25">
      <c r="A7" s="76">
        <v>3</v>
      </c>
      <c r="B7" s="43" t="s">
        <v>250</v>
      </c>
      <c r="C7" s="30">
        <v>26</v>
      </c>
      <c r="D7" s="30">
        <v>446</v>
      </c>
      <c r="E7" s="30">
        <v>165</v>
      </c>
    </row>
    <row r="8" spans="1:6" x14ac:dyDescent="0.25">
      <c r="A8" s="76">
        <v>4</v>
      </c>
      <c r="B8" s="43" t="s">
        <v>251</v>
      </c>
      <c r="C8" s="30">
        <v>40</v>
      </c>
      <c r="D8" s="30">
        <v>284</v>
      </c>
      <c r="E8" s="30">
        <v>77</v>
      </c>
    </row>
    <row r="9" spans="1:6" x14ac:dyDescent="0.25">
      <c r="A9" s="37">
        <v>5</v>
      </c>
      <c r="B9" s="43" t="s">
        <v>252</v>
      </c>
      <c r="C9" s="30">
        <v>16</v>
      </c>
      <c r="D9" s="30">
        <v>779</v>
      </c>
      <c r="E9" s="30">
        <v>201</v>
      </c>
    </row>
    <row r="10" spans="1:6" x14ac:dyDescent="0.25">
      <c r="A10" s="37"/>
      <c r="B10" s="30"/>
      <c r="C10" s="30"/>
      <c r="D10" s="30"/>
      <c r="E10" s="30"/>
    </row>
    <row r="11" spans="1:6" x14ac:dyDescent="0.25">
      <c r="A11" s="156" t="s">
        <v>31</v>
      </c>
      <c r="B11" s="156"/>
      <c r="C11" s="39">
        <f>SUM(C5:C10)</f>
        <v>141</v>
      </c>
      <c r="D11" s="39">
        <f>SUM(D5:D10)</f>
        <v>2832</v>
      </c>
      <c r="E11" s="39">
        <f>SUM(E5:E10)</f>
        <v>832</v>
      </c>
    </row>
  </sheetData>
  <mergeCells count="1">
    <mergeCell ref="A11:B11"/>
  </mergeCells>
  <hyperlinks>
    <hyperlink ref="F1" location="'Daftar Tabel'!A1" display="&lt;&lt;&lt; Daftar Tabel"/>
  </hyperlinks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7109375" defaultRowHeight="15" x14ac:dyDescent="0.25"/>
  <cols>
    <col min="1" max="1" width="5.7109375" style="21" customWidth="1"/>
    <col min="2" max="2" width="30.7109375" style="21" customWidth="1"/>
    <col min="3" max="6" width="8.7109375" style="21"/>
    <col min="7" max="7" width="14.7109375" style="21" bestFit="1" customWidth="1"/>
    <col min="8" max="16384" width="8.7109375" style="21"/>
  </cols>
  <sheetData>
    <row r="1" spans="1:7" x14ac:dyDescent="0.25">
      <c r="A1" s="24" t="s">
        <v>96</v>
      </c>
      <c r="G1" s="127" t="s">
        <v>374</v>
      </c>
    </row>
    <row r="2" spans="1:7" x14ac:dyDescent="0.25">
      <c r="A2" s="24"/>
    </row>
    <row r="3" spans="1:7" x14ac:dyDescent="0.25">
      <c r="A3" s="159" t="s">
        <v>0</v>
      </c>
      <c r="B3" s="160" t="s">
        <v>101</v>
      </c>
      <c r="C3" s="159" t="s">
        <v>97</v>
      </c>
      <c r="D3" s="159"/>
      <c r="E3" s="159"/>
      <c r="F3" s="159" t="s">
        <v>31</v>
      </c>
    </row>
    <row r="4" spans="1:7" x14ac:dyDescent="0.25">
      <c r="A4" s="159"/>
      <c r="B4" s="161"/>
      <c r="C4" s="29" t="s">
        <v>64</v>
      </c>
      <c r="D4" s="29" t="s">
        <v>65</v>
      </c>
      <c r="E4" s="29" t="s">
        <v>66</v>
      </c>
      <c r="F4" s="159"/>
    </row>
    <row r="5" spans="1:7" x14ac:dyDescent="0.25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x14ac:dyDescent="0.25">
      <c r="A6" s="37">
        <v>1</v>
      </c>
      <c r="B6" s="23" t="s">
        <v>98</v>
      </c>
      <c r="C6" s="30">
        <v>67</v>
      </c>
      <c r="D6" s="30">
        <v>72</v>
      </c>
      <c r="E6" s="30">
        <v>86</v>
      </c>
      <c r="F6" s="37">
        <f>SUM(C6:E6)</f>
        <v>225</v>
      </c>
    </row>
    <row r="7" spans="1:7" x14ac:dyDescent="0.25">
      <c r="A7" s="37">
        <v>2</v>
      </c>
      <c r="B7" s="23" t="s">
        <v>99</v>
      </c>
      <c r="C7" s="30">
        <v>42</v>
      </c>
      <c r="D7" s="30">
        <v>29</v>
      </c>
      <c r="E7" s="30">
        <v>33</v>
      </c>
      <c r="F7" s="37">
        <f>SUM(C7:E7)</f>
        <v>104</v>
      </c>
    </row>
    <row r="8" spans="1:7" x14ac:dyDescent="0.25">
      <c r="A8" s="37">
        <v>3</v>
      </c>
      <c r="B8" s="23" t="s">
        <v>100</v>
      </c>
      <c r="C8" s="30">
        <v>5</v>
      </c>
      <c r="D8" s="30">
        <v>7</v>
      </c>
      <c r="E8" s="30">
        <v>7</v>
      </c>
      <c r="F8" s="37">
        <f>SUM(C8:E8)</f>
        <v>19</v>
      </c>
    </row>
    <row r="9" spans="1:7" x14ac:dyDescent="0.25">
      <c r="A9" s="156" t="s">
        <v>31</v>
      </c>
      <c r="B9" s="156"/>
      <c r="C9" s="39">
        <f>SUM(C6:C8)</f>
        <v>114</v>
      </c>
      <c r="D9" s="39">
        <f>SUM(D6:D8)</f>
        <v>108</v>
      </c>
      <c r="E9" s="39">
        <f>SUM(E6:E8)</f>
        <v>126</v>
      </c>
      <c r="F9" s="39">
        <f>SUM(C9:E9)</f>
        <v>348</v>
      </c>
    </row>
  </sheetData>
  <mergeCells count="5">
    <mergeCell ref="A3:A4"/>
    <mergeCell ref="C3:E3"/>
    <mergeCell ref="F3:F4"/>
    <mergeCell ref="A9:B9"/>
    <mergeCell ref="B3:B4"/>
  </mergeCells>
  <hyperlinks>
    <hyperlink ref="G1" location="'Daftar Tabel'!A1" display="&lt;&lt;&lt; Daftar Tabel"/>
  </hyperlink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7109375" defaultRowHeight="15" x14ac:dyDescent="0.25"/>
  <cols>
    <col min="1" max="1" width="5.7109375" style="21" customWidth="1"/>
    <col min="2" max="2" width="30.7109375" style="21" customWidth="1"/>
    <col min="3" max="6" width="8.7109375" style="21"/>
    <col min="7" max="7" width="14.7109375" style="21" bestFit="1" customWidth="1"/>
    <col min="8" max="16384" width="8.7109375" style="21"/>
  </cols>
  <sheetData>
    <row r="1" spans="1:7" x14ac:dyDescent="0.25">
      <c r="A1" s="60" t="s">
        <v>102</v>
      </c>
      <c r="G1" s="127" t="s">
        <v>374</v>
      </c>
    </row>
    <row r="2" spans="1:7" x14ac:dyDescent="0.25">
      <c r="A2" s="24"/>
    </row>
    <row r="3" spans="1:7" x14ac:dyDescent="0.25">
      <c r="A3" s="159" t="s">
        <v>0</v>
      </c>
      <c r="B3" s="160" t="s">
        <v>101</v>
      </c>
      <c r="C3" s="159" t="s">
        <v>103</v>
      </c>
      <c r="D3" s="159"/>
      <c r="E3" s="159"/>
      <c r="F3" s="159" t="s">
        <v>31</v>
      </c>
    </row>
    <row r="4" spans="1:7" x14ac:dyDescent="0.25">
      <c r="A4" s="159"/>
      <c r="B4" s="161"/>
      <c r="C4" s="29" t="s">
        <v>64</v>
      </c>
      <c r="D4" s="29" t="s">
        <v>65</v>
      </c>
      <c r="E4" s="29" t="s">
        <v>66</v>
      </c>
      <c r="F4" s="159"/>
    </row>
    <row r="5" spans="1:7" x14ac:dyDescent="0.25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x14ac:dyDescent="0.25">
      <c r="A6" s="37">
        <v>1</v>
      </c>
      <c r="B6" s="23" t="s">
        <v>98</v>
      </c>
      <c r="C6" s="30">
        <v>54</v>
      </c>
      <c r="D6" s="30">
        <v>67</v>
      </c>
      <c r="E6" s="30">
        <v>71</v>
      </c>
      <c r="F6" s="37">
        <f>SUM(C6:E6)</f>
        <v>192</v>
      </c>
    </row>
    <row r="7" spans="1:7" x14ac:dyDescent="0.25">
      <c r="A7" s="37">
        <v>2</v>
      </c>
      <c r="B7" s="23" t="s">
        <v>99</v>
      </c>
      <c r="C7" s="30">
        <v>12</v>
      </c>
      <c r="D7" s="30">
        <v>11</v>
      </c>
      <c r="E7" s="30">
        <v>19</v>
      </c>
      <c r="F7" s="37">
        <f>SUM(C7:E7)</f>
        <v>42</v>
      </c>
    </row>
    <row r="8" spans="1:7" x14ac:dyDescent="0.25">
      <c r="A8" s="37">
        <v>3</v>
      </c>
      <c r="B8" s="23" t="s">
        <v>100</v>
      </c>
      <c r="C8" s="30">
        <v>2</v>
      </c>
      <c r="D8" s="30"/>
      <c r="E8" s="30">
        <v>1</v>
      </c>
      <c r="F8" s="37">
        <f>SUM(C8:E8)</f>
        <v>3</v>
      </c>
    </row>
    <row r="9" spans="1:7" x14ac:dyDescent="0.25">
      <c r="A9" s="156" t="s">
        <v>31</v>
      </c>
      <c r="B9" s="156"/>
      <c r="C9" s="39">
        <f>SUM(C6:C8)</f>
        <v>68</v>
      </c>
      <c r="D9" s="39">
        <f>SUM(D6:D8)</f>
        <v>78</v>
      </c>
      <c r="E9" s="39">
        <f>SUM(E6:E8)</f>
        <v>91</v>
      </c>
      <c r="F9" s="39">
        <f>SUM(C9:E9)</f>
        <v>237</v>
      </c>
    </row>
  </sheetData>
  <mergeCells count="5">
    <mergeCell ref="A3:A4"/>
    <mergeCell ref="B3:B4"/>
    <mergeCell ref="C3:E3"/>
    <mergeCell ref="F3:F4"/>
    <mergeCell ref="A9:B9"/>
  </mergeCells>
  <hyperlinks>
    <hyperlink ref="G1" location="'Daftar Tabel'!A1" display="&lt;&lt;&lt; Daftar Tabel"/>
  </hyperlink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"/>
    </sheetView>
  </sheetViews>
  <sheetFormatPr defaultColWidth="8.7109375" defaultRowHeight="15" x14ac:dyDescent="0.25"/>
  <cols>
    <col min="1" max="1" width="5.7109375" style="2" customWidth="1"/>
    <col min="2" max="2" width="32.7109375" style="2" customWidth="1"/>
    <col min="3" max="3" width="24.7109375" style="2" customWidth="1"/>
    <col min="4" max="4" width="30.28515625" style="2" customWidth="1"/>
    <col min="5" max="5" width="11.28515625" style="2" customWidth="1"/>
    <col min="6" max="6" width="14.7109375" style="2" bestFit="1" customWidth="1"/>
    <col min="7" max="16384" width="8.7109375" style="2"/>
  </cols>
  <sheetData>
    <row r="1" spans="1:6" x14ac:dyDescent="0.25">
      <c r="A1" s="45" t="s">
        <v>104</v>
      </c>
      <c r="F1" s="127" t="s">
        <v>374</v>
      </c>
    </row>
    <row r="2" spans="1:6" x14ac:dyDescent="0.25">
      <c r="A2" s="45"/>
    </row>
    <row r="3" spans="1:6" x14ac:dyDescent="0.25">
      <c r="A3" s="45" t="s">
        <v>320</v>
      </c>
      <c r="E3" s="112">
        <f>COUNTIFS(B7:B17,"*",C7:C17,"*",D7:D17,"*")</f>
        <v>4</v>
      </c>
    </row>
    <row r="4" spans="1:6" x14ac:dyDescent="0.25">
      <c r="A4" s="58"/>
    </row>
    <row r="5" spans="1:6" x14ac:dyDescent="0.25">
      <c r="A5" s="52" t="s">
        <v>0</v>
      </c>
      <c r="B5" s="52" t="s">
        <v>105</v>
      </c>
      <c r="C5" s="52" t="s">
        <v>106</v>
      </c>
      <c r="D5" s="52" t="s">
        <v>107</v>
      </c>
      <c r="E5" s="52" t="s">
        <v>108</v>
      </c>
    </row>
    <row r="6" spans="1:6" x14ac:dyDescent="0.25">
      <c r="A6" s="46">
        <v>1</v>
      </c>
      <c r="B6" s="47">
        <v>2</v>
      </c>
      <c r="C6" s="47">
        <v>3</v>
      </c>
      <c r="D6" s="47">
        <v>4</v>
      </c>
      <c r="E6" s="47">
        <v>5</v>
      </c>
    </row>
    <row r="7" spans="1:6" x14ac:dyDescent="0.25">
      <c r="A7" s="48">
        <v>1</v>
      </c>
      <c r="B7" s="49" t="s">
        <v>321</v>
      </c>
      <c r="C7" s="49" t="s">
        <v>328</v>
      </c>
      <c r="D7" s="49" t="s">
        <v>323</v>
      </c>
      <c r="E7" s="49"/>
    </row>
    <row r="8" spans="1:6" x14ac:dyDescent="0.25">
      <c r="A8" s="48">
        <v>2</v>
      </c>
      <c r="B8" s="49" t="s">
        <v>322</v>
      </c>
      <c r="C8" s="49" t="s">
        <v>329</v>
      </c>
      <c r="D8" s="49" t="s">
        <v>323</v>
      </c>
      <c r="E8" s="49"/>
    </row>
    <row r="9" spans="1:6" x14ac:dyDescent="0.25">
      <c r="A9" s="48">
        <v>3</v>
      </c>
      <c r="B9" s="49" t="s">
        <v>326</v>
      </c>
      <c r="C9" s="49" t="s">
        <v>329</v>
      </c>
      <c r="D9" s="49" t="s">
        <v>324</v>
      </c>
      <c r="E9" s="49"/>
    </row>
    <row r="10" spans="1:6" x14ac:dyDescent="0.25">
      <c r="A10" s="48">
        <v>4</v>
      </c>
      <c r="B10" s="49" t="s">
        <v>327</v>
      </c>
      <c r="C10" s="49" t="s">
        <v>330</v>
      </c>
      <c r="D10" s="49" t="s">
        <v>325</v>
      </c>
      <c r="E10" s="49"/>
    </row>
    <row r="11" spans="1:6" x14ac:dyDescent="0.25">
      <c r="A11" s="48">
        <v>5</v>
      </c>
      <c r="B11" s="49" t="s">
        <v>331</v>
      </c>
      <c r="C11" s="49" t="s">
        <v>330</v>
      </c>
      <c r="D11" s="49"/>
      <c r="E11" s="49"/>
    </row>
    <row r="12" spans="1:6" x14ac:dyDescent="0.25">
      <c r="A12" s="48">
        <v>6</v>
      </c>
      <c r="B12" s="49"/>
      <c r="C12" s="49"/>
      <c r="D12" s="49"/>
      <c r="E12" s="49"/>
    </row>
    <row r="13" spans="1:6" x14ac:dyDescent="0.25">
      <c r="A13" s="48">
        <v>7</v>
      </c>
      <c r="B13" s="49"/>
      <c r="C13" s="49"/>
      <c r="D13" s="49"/>
      <c r="E13" s="49"/>
    </row>
    <row r="14" spans="1:6" x14ac:dyDescent="0.25">
      <c r="A14" s="48">
        <v>8</v>
      </c>
      <c r="B14" s="49"/>
      <c r="C14" s="49"/>
      <c r="D14" s="49"/>
      <c r="E14" s="49"/>
    </row>
    <row r="15" spans="1:6" x14ac:dyDescent="0.25">
      <c r="A15" s="48">
        <v>9</v>
      </c>
      <c r="B15" s="49"/>
      <c r="C15" s="49"/>
      <c r="D15" s="49"/>
      <c r="E15" s="49"/>
    </row>
    <row r="16" spans="1:6" x14ac:dyDescent="0.25">
      <c r="A16" s="48">
        <v>10</v>
      </c>
      <c r="B16" s="49"/>
      <c r="C16" s="49"/>
      <c r="D16" s="49"/>
      <c r="E16" s="49"/>
    </row>
    <row r="17" spans="1:5" x14ac:dyDescent="0.25">
      <c r="A17" s="48" t="s">
        <v>74</v>
      </c>
      <c r="B17" s="49"/>
      <c r="C17" s="49"/>
      <c r="D17" s="49"/>
      <c r="E17" s="49"/>
    </row>
    <row r="18" spans="1:5" s="111" customFormat="1" x14ac:dyDescent="0.25">
      <c r="A18" s="109"/>
      <c r="B18" s="110"/>
      <c r="C18" s="110"/>
      <c r="D18" s="110"/>
      <c r="E18" s="110"/>
    </row>
  </sheetData>
  <hyperlinks>
    <hyperlink ref="F1" location="'Daftar Tabel'!A1" display="&lt;&lt;&lt; Daftar Tabel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:B8"/>
    </sheetView>
  </sheetViews>
  <sheetFormatPr defaultColWidth="8.7109375" defaultRowHeight="15" x14ac:dyDescent="0.25"/>
  <cols>
    <col min="1" max="1" width="5.7109375" style="21" customWidth="1"/>
    <col min="2" max="2" width="16.7109375" style="21" customWidth="1"/>
    <col min="3" max="3" width="18.7109375" style="21" customWidth="1"/>
    <col min="4" max="7" width="16.7109375" style="21" customWidth="1"/>
    <col min="8" max="8" width="14.7109375" style="21" bestFit="1" customWidth="1"/>
    <col min="9" max="16384" width="8.7109375" style="21"/>
  </cols>
  <sheetData>
    <row r="1" spans="1:8" x14ac:dyDescent="0.25">
      <c r="A1" s="24" t="s">
        <v>109</v>
      </c>
      <c r="H1" s="127" t="s">
        <v>374</v>
      </c>
    </row>
    <row r="2" spans="1:8" x14ac:dyDescent="0.25">
      <c r="A2" s="24"/>
    </row>
    <row r="3" spans="1:8" x14ac:dyDescent="0.25">
      <c r="A3" s="157" t="s">
        <v>0</v>
      </c>
      <c r="B3" s="157" t="s">
        <v>110</v>
      </c>
      <c r="C3" s="157" t="s">
        <v>111</v>
      </c>
      <c r="D3" s="157" t="s">
        <v>112</v>
      </c>
      <c r="E3" s="157"/>
      <c r="F3" s="157"/>
      <c r="G3" s="157" t="s">
        <v>113</v>
      </c>
    </row>
    <row r="4" spans="1:8" x14ac:dyDescent="0.25">
      <c r="A4" s="157"/>
      <c r="B4" s="157"/>
      <c r="C4" s="157"/>
      <c r="D4" s="33" t="s">
        <v>64</v>
      </c>
      <c r="E4" s="33" t="s">
        <v>65</v>
      </c>
      <c r="F4" s="33" t="s">
        <v>66</v>
      </c>
      <c r="G4" s="157"/>
    </row>
    <row r="5" spans="1:8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</row>
    <row r="6" spans="1:8" x14ac:dyDescent="0.25">
      <c r="A6" s="162">
        <v>1</v>
      </c>
      <c r="B6" s="163" t="s">
        <v>114</v>
      </c>
      <c r="C6" s="23" t="s">
        <v>115</v>
      </c>
      <c r="D6" s="90">
        <v>11345670000</v>
      </c>
      <c r="E6" s="90">
        <v>11987341900</v>
      </c>
      <c r="F6" s="90">
        <v>12012198500</v>
      </c>
      <c r="G6" s="91">
        <f>SUM(D6:F6)</f>
        <v>35345210400</v>
      </c>
    </row>
    <row r="7" spans="1:8" x14ac:dyDescent="0.25">
      <c r="A7" s="162"/>
      <c r="B7" s="163"/>
      <c r="C7" s="23" t="s">
        <v>116</v>
      </c>
      <c r="D7" s="90">
        <v>3101230000</v>
      </c>
      <c r="E7" s="90">
        <v>2546098700</v>
      </c>
      <c r="F7" s="90">
        <v>3224529000</v>
      </c>
      <c r="G7" s="91">
        <f>SUM(D7:F7)</f>
        <v>8871857700</v>
      </c>
    </row>
    <row r="8" spans="1:8" x14ac:dyDescent="0.25">
      <c r="A8" s="162"/>
      <c r="B8" s="163"/>
      <c r="C8" s="23" t="s">
        <v>117</v>
      </c>
      <c r="D8" s="90"/>
      <c r="E8" s="90"/>
      <c r="F8" s="90"/>
      <c r="G8" s="91">
        <f>SUM(D8:F8)</f>
        <v>0</v>
      </c>
    </row>
    <row r="9" spans="1:8" x14ac:dyDescent="0.25">
      <c r="A9" s="162"/>
      <c r="B9" s="156" t="s">
        <v>31</v>
      </c>
      <c r="C9" s="156"/>
      <c r="D9" s="92">
        <f>SUM(D6:D8)</f>
        <v>14446900000</v>
      </c>
      <c r="E9" s="92">
        <f>SUM(E6:E8)</f>
        <v>14533440600</v>
      </c>
      <c r="F9" s="92">
        <f>SUM(F6:F8)</f>
        <v>15236727500</v>
      </c>
      <c r="G9" s="92">
        <f>SUM(D9:F9)</f>
        <v>44217068100</v>
      </c>
    </row>
    <row r="10" spans="1:8" x14ac:dyDescent="0.25">
      <c r="A10" s="162">
        <v>2</v>
      </c>
      <c r="B10" s="163" t="s">
        <v>118</v>
      </c>
      <c r="C10" s="23" t="s">
        <v>132</v>
      </c>
      <c r="D10" s="90">
        <v>36210000000</v>
      </c>
      <c r="E10" s="90">
        <v>38565000000</v>
      </c>
      <c r="F10" s="90">
        <v>41398000000</v>
      </c>
      <c r="G10" s="91">
        <f t="shared" ref="G10:G29" si="0">SUM(D10:F10)</f>
        <v>116173000000</v>
      </c>
    </row>
    <row r="11" spans="1:8" ht="25.5" x14ac:dyDescent="0.25">
      <c r="A11" s="162"/>
      <c r="B11" s="163"/>
      <c r="C11" s="23" t="s">
        <v>119</v>
      </c>
      <c r="D11" s="90"/>
      <c r="E11" s="90"/>
      <c r="F11" s="90"/>
      <c r="G11" s="91">
        <f t="shared" si="0"/>
        <v>0</v>
      </c>
    </row>
    <row r="12" spans="1:8" x14ac:dyDescent="0.25">
      <c r="A12" s="162"/>
      <c r="B12" s="163"/>
      <c r="C12" s="23" t="s">
        <v>120</v>
      </c>
      <c r="D12" s="90">
        <v>550000000</v>
      </c>
      <c r="E12" s="90">
        <v>485000000</v>
      </c>
      <c r="F12" s="90">
        <v>680000000</v>
      </c>
      <c r="G12" s="91">
        <f t="shared" si="0"/>
        <v>1715000000</v>
      </c>
    </row>
    <row r="13" spans="1:8" x14ac:dyDescent="0.25">
      <c r="A13" s="162"/>
      <c r="B13" s="163"/>
      <c r="C13" s="23" t="s">
        <v>121</v>
      </c>
      <c r="D13" s="90">
        <v>126000000</v>
      </c>
      <c r="E13" s="90">
        <v>192000000</v>
      </c>
      <c r="F13" s="90">
        <v>137000000</v>
      </c>
      <c r="G13" s="91">
        <f t="shared" si="0"/>
        <v>455000000</v>
      </c>
    </row>
    <row r="14" spans="1:8" x14ac:dyDescent="0.25">
      <c r="A14" s="162"/>
      <c r="B14" s="163"/>
      <c r="C14" s="23" t="s">
        <v>117</v>
      </c>
      <c r="D14" s="90"/>
      <c r="E14" s="90"/>
      <c r="F14" s="90"/>
      <c r="G14" s="91">
        <f t="shared" si="0"/>
        <v>0</v>
      </c>
    </row>
    <row r="15" spans="1:8" x14ac:dyDescent="0.25">
      <c r="A15" s="162"/>
      <c r="B15" s="156" t="s">
        <v>31</v>
      </c>
      <c r="C15" s="156"/>
      <c r="D15" s="92">
        <f>SUM(D10:D14)</f>
        <v>36886000000</v>
      </c>
      <c r="E15" s="92">
        <f>SUM(E10:E14)</f>
        <v>39242000000</v>
      </c>
      <c r="F15" s="92">
        <f>SUM(F10:F14)</f>
        <v>42215000000</v>
      </c>
      <c r="G15" s="92">
        <f t="shared" si="0"/>
        <v>118343000000</v>
      </c>
    </row>
    <row r="16" spans="1:8" ht="25.5" x14ac:dyDescent="0.25">
      <c r="A16" s="162">
        <v>3</v>
      </c>
      <c r="B16" s="163" t="s">
        <v>133</v>
      </c>
      <c r="C16" s="23" t="s">
        <v>122</v>
      </c>
      <c r="D16" s="90">
        <v>1254000000</v>
      </c>
      <c r="E16" s="90">
        <v>976800000</v>
      </c>
      <c r="F16" s="90">
        <v>794000000</v>
      </c>
      <c r="G16" s="91">
        <f t="shared" si="0"/>
        <v>3024800000</v>
      </c>
    </row>
    <row r="17" spans="1:7" x14ac:dyDescent="0.25">
      <c r="A17" s="162"/>
      <c r="B17" s="163"/>
      <c r="C17" s="23" t="s">
        <v>123</v>
      </c>
      <c r="D17" s="90"/>
      <c r="E17" s="90"/>
      <c r="F17" s="90"/>
      <c r="G17" s="91">
        <f t="shared" si="0"/>
        <v>0</v>
      </c>
    </row>
    <row r="18" spans="1:7" ht="51" x14ac:dyDescent="0.25">
      <c r="A18" s="162"/>
      <c r="B18" s="163"/>
      <c r="C18" s="23" t="s">
        <v>124</v>
      </c>
      <c r="D18" s="90">
        <v>325000000</v>
      </c>
      <c r="E18" s="90">
        <v>385000000</v>
      </c>
      <c r="F18" s="90">
        <v>496000000</v>
      </c>
      <c r="G18" s="91">
        <f t="shared" si="0"/>
        <v>1206000000</v>
      </c>
    </row>
    <row r="19" spans="1:7" x14ac:dyDescent="0.25">
      <c r="A19" s="162"/>
      <c r="B19" s="163"/>
      <c r="C19" s="23" t="s">
        <v>117</v>
      </c>
      <c r="D19" s="90"/>
      <c r="E19" s="90"/>
      <c r="F19" s="90"/>
      <c r="G19" s="91">
        <f t="shared" si="0"/>
        <v>0</v>
      </c>
    </row>
    <row r="20" spans="1:7" x14ac:dyDescent="0.25">
      <c r="A20" s="162"/>
      <c r="B20" s="156" t="s">
        <v>31</v>
      </c>
      <c r="C20" s="156"/>
      <c r="D20" s="92">
        <f>SUM(D16:D19)</f>
        <v>1579000000</v>
      </c>
      <c r="E20" s="92">
        <f>SUM(E16:E19)</f>
        <v>1361800000</v>
      </c>
      <c r="F20" s="92">
        <f>SUM(F16:F19)</f>
        <v>1290000000</v>
      </c>
      <c r="G20" s="92">
        <f t="shared" si="0"/>
        <v>4230800000</v>
      </c>
    </row>
    <row r="21" spans="1:7" x14ac:dyDescent="0.25">
      <c r="A21" s="162">
        <v>4</v>
      </c>
      <c r="B21" s="163" t="s">
        <v>125</v>
      </c>
      <c r="C21" s="23" t="s">
        <v>126</v>
      </c>
      <c r="D21" s="90">
        <v>1835450000</v>
      </c>
      <c r="E21" s="90">
        <v>872985000</v>
      </c>
      <c r="F21" s="90">
        <v>0</v>
      </c>
      <c r="G21" s="91">
        <f t="shared" si="0"/>
        <v>2708435000</v>
      </c>
    </row>
    <row r="22" spans="1:7" ht="25.5" x14ac:dyDescent="0.25">
      <c r="A22" s="162"/>
      <c r="B22" s="163"/>
      <c r="C22" s="23" t="s">
        <v>127</v>
      </c>
      <c r="D22" s="90"/>
      <c r="E22" s="90"/>
      <c r="F22" s="90"/>
      <c r="G22" s="91">
        <f t="shared" si="0"/>
        <v>0</v>
      </c>
    </row>
    <row r="23" spans="1:7" x14ac:dyDescent="0.25">
      <c r="A23" s="162"/>
      <c r="B23" s="163"/>
      <c r="C23" s="23" t="s">
        <v>117</v>
      </c>
      <c r="D23" s="90"/>
      <c r="E23" s="90"/>
      <c r="F23" s="90"/>
      <c r="G23" s="91">
        <f t="shared" si="0"/>
        <v>0</v>
      </c>
    </row>
    <row r="24" spans="1:7" x14ac:dyDescent="0.25">
      <c r="A24" s="162"/>
      <c r="B24" s="156" t="s">
        <v>31</v>
      </c>
      <c r="C24" s="156"/>
      <c r="D24" s="92">
        <f>SUM(D21:D23)</f>
        <v>1835450000</v>
      </c>
      <c r="E24" s="92">
        <f>SUM(E21:E23)</f>
        <v>872985000</v>
      </c>
      <c r="F24" s="92">
        <f>SUM(F21:F23)</f>
        <v>0</v>
      </c>
      <c r="G24" s="92">
        <f t="shared" si="0"/>
        <v>2708435000</v>
      </c>
    </row>
    <row r="25" spans="1:7" x14ac:dyDescent="0.25">
      <c r="A25" s="156" t="s">
        <v>128</v>
      </c>
      <c r="B25" s="156"/>
      <c r="C25" s="156"/>
      <c r="D25" s="92">
        <f>D9+D15+D20+D24</f>
        <v>54747350000</v>
      </c>
      <c r="E25" s="92">
        <f>E9+E15+E20+E24</f>
        <v>56010225600</v>
      </c>
      <c r="F25" s="92">
        <f>F9+F15+F20+F24</f>
        <v>58741727500</v>
      </c>
      <c r="G25" s="92">
        <f t="shared" si="0"/>
        <v>169499303100</v>
      </c>
    </row>
    <row r="26" spans="1:7" x14ac:dyDescent="0.25">
      <c r="A26" s="162">
        <v>5</v>
      </c>
      <c r="B26" s="163" t="s">
        <v>134</v>
      </c>
      <c r="C26" s="23" t="s">
        <v>129</v>
      </c>
      <c r="D26" s="90">
        <v>120000000</v>
      </c>
      <c r="E26" s="90">
        <v>150000000</v>
      </c>
      <c r="F26" s="90">
        <v>180000000</v>
      </c>
      <c r="G26" s="91">
        <f t="shared" si="0"/>
        <v>450000000</v>
      </c>
    </row>
    <row r="27" spans="1:7" x14ac:dyDescent="0.25">
      <c r="A27" s="162"/>
      <c r="B27" s="163"/>
      <c r="C27" s="23" t="s">
        <v>130</v>
      </c>
      <c r="D27" s="90"/>
      <c r="E27" s="90"/>
      <c r="F27" s="90"/>
      <c r="G27" s="91">
        <f t="shared" si="0"/>
        <v>0</v>
      </c>
    </row>
    <row r="28" spans="1:7" x14ac:dyDescent="0.25">
      <c r="A28" s="162"/>
      <c r="B28" s="156" t="s">
        <v>131</v>
      </c>
      <c r="C28" s="156"/>
      <c r="D28" s="92">
        <f>SUM(D26:D27)</f>
        <v>120000000</v>
      </c>
      <c r="E28" s="92">
        <f>SUM(E26:E27)</f>
        <v>150000000</v>
      </c>
      <c r="F28" s="92">
        <f>SUM(F26:F27)</f>
        <v>180000000</v>
      </c>
      <c r="G28" s="92">
        <f t="shared" si="0"/>
        <v>450000000</v>
      </c>
    </row>
    <row r="29" spans="1:7" x14ac:dyDescent="0.25">
      <c r="A29" s="156" t="s">
        <v>255</v>
      </c>
      <c r="B29" s="156"/>
      <c r="C29" s="156"/>
      <c r="D29" s="92">
        <f>D25+D28</f>
        <v>54867350000</v>
      </c>
      <c r="E29" s="92">
        <f>E25+E28</f>
        <v>56160225600</v>
      </c>
      <c r="F29" s="92">
        <f>F25+F28</f>
        <v>58921727500</v>
      </c>
      <c r="G29" s="92">
        <f t="shared" si="0"/>
        <v>169949303100</v>
      </c>
    </row>
  </sheetData>
  <mergeCells count="22">
    <mergeCell ref="D3:F3"/>
    <mergeCell ref="G3:G4"/>
    <mergeCell ref="A10:A15"/>
    <mergeCell ref="B10:B14"/>
    <mergeCell ref="B15:C15"/>
    <mergeCell ref="A6:A9"/>
    <mergeCell ref="B6:B8"/>
    <mergeCell ref="B9:C9"/>
    <mergeCell ref="A3:A4"/>
    <mergeCell ref="B3:B4"/>
    <mergeCell ref="C3:C4"/>
    <mergeCell ref="A16:A20"/>
    <mergeCell ref="B16:B19"/>
    <mergeCell ref="B20:C20"/>
    <mergeCell ref="A29:C29"/>
    <mergeCell ref="A21:A24"/>
    <mergeCell ref="B21:B23"/>
    <mergeCell ref="B24:C24"/>
    <mergeCell ref="A25:C25"/>
    <mergeCell ref="A26:A28"/>
    <mergeCell ref="B26:B27"/>
    <mergeCell ref="B28:C28"/>
  </mergeCells>
  <hyperlinks>
    <hyperlink ref="H1" location="'Daftar Tabel'!A1" display="&lt;&lt;&lt; Daftar Tabel"/>
  </hyperlinks>
  <pageMargins left="0.7" right="0.7" top="0.75" bottom="0.75" header="0.3" footer="0.3"/>
  <pageSetup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7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7109375" defaultRowHeight="15" x14ac:dyDescent="0.25"/>
  <cols>
    <col min="1" max="1" width="5.7109375" style="21" customWidth="1"/>
    <col min="2" max="2" width="28.7109375" style="21" customWidth="1"/>
    <col min="3" max="6" width="16.7109375" style="21" customWidth="1"/>
    <col min="7" max="7" width="14.7109375" style="21" bestFit="1" customWidth="1"/>
    <col min="8" max="16384" width="8.7109375" style="21"/>
  </cols>
  <sheetData>
    <row r="1" spans="1:7" x14ac:dyDescent="0.25">
      <c r="A1" s="24" t="s">
        <v>135</v>
      </c>
      <c r="G1" s="127" t="s">
        <v>374</v>
      </c>
    </row>
    <row r="2" spans="1:7" x14ac:dyDescent="0.25">
      <c r="A2" s="24"/>
    </row>
    <row r="3" spans="1:7" x14ac:dyDescent="0.25">
      <c r="A3" s="157" t="s">
        <v>0</v>
      </c>
      <c r="B3" s="157" t="s">
        <v>136</v>
      </c>
      <c r="C3" s="157" t="s">
        <v>137</v>
      </c>
      <c r="D3" s="157"/>
      <c r="E3" s="157"/>
      <c r="F3" s="33" t="s">
        <v>138</v>
      </c>
    </row>
    <row r="4" spans="1:7" x14ac:dyDescent="0.25">
      <c r="A4" s="157"/>
      <c r="B4" s="157"/>
      <c r="C4" s="33" t="s">
        <v>64</v>
      </c>
      <c r="D4" s="33" t="s">
        <v>65</v>
      </c>
      <c r="E4" s="33" t="s">
        <v>66</v>
      </c>
      <c r="F4" s="33" t="s">
        <v>139</v>
      </c>
    </row>
    <row r="5" spans="1:7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</row>
    <row r="6" spans="1:7" ht="27.75" x14ac:dyDescent="0.25">
      <c r="A6" s="37">
        <v>1</v>
      </c>
      <c r="B6" s="23" t="s">
        <v>144</v>
      </c>
      <c r="C6" s="90">
        <v>51190900000</v>
      </c>
      <c r="D6" s="90">
        <v>53312240600</v>
      </c>
      <c r="E6" s="90">
        <v>56745727500</v>
      </c>
      <c r="F6" s="93">
        <f>SUM(C6:E6)</f>
        <v>161248868100</v>
      </c>
    </row>
    <row r="7" spans="1:7" x14ac:dyDescent="0.25">
      <c r="A7" s="37">
        <v>2</v>
      </c>
      <c r="B7" s="23" t="s">
        <v>145</v>
      </c>
      <c r="C7" s="90">
        <v>950000000</v>
      </c>
      <c r="D7" s="90">
        <v>885000000</v>
      </c>
      <c r="E7" s="90">
        <v>1080000000</v>
      </c>
      <c r="F7" s="93">
        <f t="shared" ref="F7:F16" si="0">SUM(C7:E7)</f>
        <v>2915000000</v>
      </c>
    </row>
    <row r="8" spans="1:7" ht="27.75" x14ac:dyDescent="0.25">
      <c r="A8" s="37">
        <v>3</v>
      </c>
      <c r="B8" s="23" t="s">
        <v>146</v>
      </c>
      <c r="C8" s="90">
        <v>226000000</v>
      </c>
      <c r="D8" s="90">
        <v>292000000</v>
      </c>
      <c r="E8" s="90">
        <v>237000000</v>
      </c>
      <c r="F8" s="93">
        <f t="shared" si="0"/>
        <v>755000000</v>
      </c>
    </row>
    <row r="9" spans="1:7" x14ac:dyDescent="0.25">
      <c r="A9" s="37">
        <v>4</v>
      </c>
      <c r="B9" s="23" t="s">
        <v>140</v>
      </c>
      <c r="C9" s="90"/>
      <c r="D9" s="90"/>
      <c r="E9" s="90"/>
      <c r="F9" s="93">
        <f t="shared" si="0"/>
        <v>0</v>
      </c>
    </row>
    <row r="10" spans="1:7" x14ac:dyDescent="0.25">
      <c r="A10" s="37">
        <v>5</v>
      </c>
      <c r="B10" s="23" t="s">
        <v>141</v>
      </c>
      <c r="C10" s="90">
        <v>1835450000</v>
      </c>
      <c r="D10" s="90">
        <v>872985000</v>
      </c>
      <c r="E10" s="90">
        <v>0</v>
      </c>
      <c r="F10" s="93">
        <f t="shared" si="0"/>
        <v>2708435000</v>
      </c>
    </row>
    <row r="11" spans="1:7" x14ac:dyDescent="0.25">
      <c r="A11" s="37">
        <v>6</v>
      </c>
      <c r="B11" s="23" t="s">
        <v>142</v>
      </c>
      <c r="C11" s="90">
        <v>545000000</v>
      </c>
      <c r="D11" s="90">
        <v>648000000</v>
      </c>
      <c r="E11" s="90">
        <v>679000000</v>
      </c>
      <c r="F11" s="93">
        <f t="shared" si="0"/>
        <v>1872000000</v>
      </c>
    </row>
    <row r="12" spans="1:7" x14ac:dyDescent="0.25">
      <c r="A12" s="37">
        <v>7</v>
      </c>
      <c r="B12" s="23" t="s">
        <v>143</v>
      </c>
      <c r="C12" s="90"/>
      <c r="D12" s="90"/>
      <c r="E12" s="90"/>
      <c r="F12" s="93">
        <f t="shared" si="0"/>
        <v>0</v>
      </c>
    </row>
    <row r="13" spans="1:7" x14ac:dyDescent="0.25">
      <c r="A13" s="156" t="s">
        <v>31</v>
      </c>
      <c r="B13" s="156"/>
      <c r="C13" s="94">
        <f>SUM(C6:C12)</f>
        <v>54747350000</v>
      </c>
      <c r="D13" s="94">
        <f>SUM(D6:D12)</f>
        <v>56010225600</v>
      </c>
      <c r="E13" s="94">
        <f>SUM(E6:E12)</f>
        <v>58741727500</v>
      </c>
      <c r="F13" s="94">
        <f t="shared" si="0"/>
        <v>169499303100</v>
      </c>
    </row>
    <row r="14" spans="1:7" x14ac:dyDescent="0.25">
      <c r="A14" s="37">
        <v>1</v>
      </c>
      <c r="B14" s="23" t="s">
        <v>147</v>
      </c>
      <c r="C14" s="90">
        <v>120000000</v>
      </c>
      <c r="D14" s="90">
        <v>150000000</v>
      </c>
      <c r="E14" s="90">
        <v>180000000</v>
      </c>
      <c r="F14" s="93">
        <f t="shared" si="0"/>
        <v>450000000</v>
      </c>
    </row>
    <row r="15" spans="1:7" x14ac:dyDescent="0.25">
      <c r="A15" s="37">
        <v>2</v>
      </c>
      <c r="B15" s="23" t="s">
        <v>148</v>
      </c>
      <c r="C15" s="90"/>
      <c r="D15" s="90"/>
      <c r="E15" s="90"/>
      <c r="F15" s="93">
        <f t="shared" si="0"/>
        <v>0</v>
      </c>
    </row>
    <row r="16" spans="1:7" x14ac:dyDescent="0.25">
      <c r="A16" s="156" t="s">
        <v>31</v>
      </c>
      <c r="B16" s="156"/>
      <c r="C16" s="94">
        <f>SUM(C14:C15)</f>
        <v>120000000</v>
      </c>
      <c r="D16" s="94">
        <f>SUM(D14:D15)</f>
        <v>150000000</v>
      </c>
      <c r="E16" s="94">
        <f>SUM(E14:E15)</f>
        <v>180000000</v>
      </c>
      <c r="F16" s="94">
        <f t="shared" si="0"/>
        <v>450000000</v>
      </c>
    </row>
    <row r="17" spans="1:6" x14ac:dyDescent="0.25">
      <c r="A17" s="41"/>
      <c r="B17" s="41"/>
      <c r="C17" s="79"/>
      <c r="D17" s="79"/>
      <c r="E17" s="79"/>
      <c r="F17" s="79"/>
    </row>
  </sheetData>
  <mergeCells count="5">
    <mergeCell ref="A3:A4"/>
    <mergeCell ref="B3:B4"/>
    <mergeCell ref="C3:E3"/>
    <mergeCell ref="A13:B13"/>
    <mergeCell ref="A16:B16"/>
  </mergeCells>
  <hyperlinks>
    <hyperlink ref="G1" location="'Daftar Tabel'!A1" display="&lt;&lt;&lt; Daftar Tabel"/>
  </hyperlink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</sheetPr>
  <dimension ref="A1:J1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5.7109375" style="6" customWidth="1"/>
    <col min="2" max="2" width="28.7109375" style="6" customWidth="1"/>
    <col min="3" max="9" width="10.7109375" style="6" customWidth="1"/>
    <col min="10" max="10" width="14.7109375" style="6" bestFit="1" customWidth="1"/>
    <col min="11" max="16384" width="8.7109375" style="6"/>
  </cols>
  <sheetData>
    <row r="1" spans="1:10" x14ac:dyDescent="0.25">
      <c r="A1" s="24" t="s">
        <v>149</v>
      </c>
      <c r="B1" s="21"/>
      <c r="C1" s="21"/>
      <c r="D1" s="21"/>
      <c r="E1" s="21"/>
      <c r="F1" s="21"/>
      <c r="G1" s="21"/>
      <c r="H1" s="21"/>
      <c r="I1" s="21"/>
      <c r="J1" s="127" t="s">
        <v>374</v>
      </c>
    </row>
    <row r="2" spans="1:10" x14ac:dyDescent="0.25">
      <c r="A2" s="24"/>
      <c r="B2" s="21"/>
      <c r="C2" s="21"/>
      <c r="D2" s="21"/>
      <c r="E2" s="21"/>
      <c r="F2" s="21"/>
      <c r="G2" s="21"/>
      <c r="H2" s="21"/>
      <c r="I2" s="21"/>
    </row>
    <row r="3" spans="1:10" x14ac:dyDescent="0.25">
      <c r="A3" s="157" t="s">
        <v>0</v>
      </c>
      <c r="B3" s="157" t="s">
        <v>150</v>
      </c>
      <c r="C3" s="157" t="s">
        <v>151</v>
      </c>
      <c r="D3" s="157" t="s">
        <v>152</v>
      </c>
      <c r="E3" s="157"/>
      <c r="F3" s="157"/>
      <c r="G3" s="157" t="s">
        <v>153</v>
      </c>
      <c r="H3" s="157"/>
      <c r="I3" s="157"/>
    </row>
    <row r="4" spans="1:10" x14ac:dyDescent="0.25">
      <c r="A4" s="157"/>
      <c r="B4" s="157"/>
      <c r="C4" s="157"/>
      <c r="D4" s="33" t="s">
        <v>64</v>
      </c>
      <c r="E4" s="33" t="s">
        <v>65</v>
      </c>
      <c r="F4" s="33" t="s">
        <v>66</v>
      </c>
      <c r="G4" s="33" t="s">
        <v>64</v>
      </c>
      <c r="H4" s="33" t="s">
        <v>65</v>
      </c>
      <c r="I4" s="33" t="s">
        <v>66</v>
      </c>
    </row>
    <row r="5" spans="1:10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  <c r="H5" s="35">
        <v>8</v>
      </c>
      <c r="I5" s="35">
        <v>9</v>
      </c>
    </row>
    <row r="6" spans="1:10" ht="25.5" x14ac:dyDescent="0.25">
      <c r="A6" s="37">
        <v>1</v>
      </c>
      <c r="B6" s="23" t="s">
        <v>154</v>
      </c>
      <c r="C6" s="30"/>
      <c r="D6" s="30"/>
      <c r="E6" s="30"/>
      <c r="F6" s="30"/>
      <c r="G6" s="40"/>
      <c r="H6" s="40"/>
      <c r="I6" s="40"/>
    </row>
    <row r="7" spans="1:10" ht="25.5" x14ac:dyDescent="0.25">
      <c r="A7" s="37">
        <v>2</v>
      </c>
      <c r="B7" s="23" t="s">
        <v>77</v>
      </c>
      <c r="C7" s="30">
        <v>2</v>
      </c>
      <c r="D7" s="30">
        <v>10</v>
      </c>
      <c r="E7" s="30">
        <v>7</v>
      </c>
      <c r="F7" s="30">
        <v>10</v>
      </c>
      <c r="G7" s="40">
        <v>3.75</v>
      </c>
      <c r="H7" s="40">
        <v>3.61</v>
      </c>
      <c r="I7" s="40">
        <v>3.66</v>
      </c>
    </row>
    <row r="8" spans="1:10" x14ac:dyDescent="0.25">
      <c r="A8" s="164">
        <v>3</v>
      </c>
      <c r="B8" s="23" t="s">
        <v>256</v>
      </c>
      <c r="C8" s="30"/>
      <c r="D8" s="30"/>
      <c r="E8" s="30"/>
      <c r="F8" s="30"/>
      <c r="G8" s="40"/>
      <c r="H8" s="40"/>
      <c r="I8" s="40"/>
    </row>
    <row r="9" spans="1:10" x14ac:dyDescent="0.25">
      <c r="A9" s="165"/>
      <c r="B9" s="80" t="s">
        <v>257</v>
      </c>
      <c r="C9" s="30">
        <v>3</v>
      </c>
      <c r="D9" s="30">
        <v>101</v>
      </c>
      <c r="E9" s="30">
        <v>122</v>
      </c>
      <c r="F9" s="30">
        <v>136</v>
      </c>
      <c r="G9" s="40">
        <v>3.51</v>
      </c>
      <c r="H9" s="40">
        <v>3.48</v>
      </c>
      <c r="I9" s="40">
        <v>3.58</v>
      </c>
    </row>
    <row r="10" spans="1:10" x14ac:dyDescent="0.25">
      <c r="A10" s="37">
        <v>4</v>
      </c>
      <c r="B10" s="23" t="s">
        <v>13</v>
      </c>
      <c r="C10" s="30">
        <v>11</v>
      </c>
      <c r="D10" s="30">
        <v>598</v>
      </c>
      <c r="E10" s="30">
        <v>623</v>
      </c>
      <c r="F10" s="30">
        <v>639</v>
      </c>
      <c r="G10" s="40">
        <v>3.21</v>
      </c>
      <c r="H10" s="40">
        <v>3.19</v>
      </c>
      <c r="I10" s="40">
        <v>3.07</v>
      </c>
    </row>
    <row r="11" spans="1:10" x14ac:dyDescent="0.25">
      <c r="A11" s="37">
        <v>5</v>
      </c>
      <c r="B11" s="23" t="s">
        <v>155</v>
      </c>
      <c r="C11" s="30">
        <v>4</v>
      </c>
      <c r="D11" s="30"/>
      <c r="E11" s="30"/>
      <c r="F11" s="30">
        <v>55</v>
      </c>
      <c r="G11" s="40"/>
      <c r="H11" s="40"/>
      <c r="I11" s="40">
        <v>2.99</v>
      </c>
    </row>
    <row r="12" spans="1:10" x14ac:dyDescent="0.25">
      <c r="A12" s="37">
        <v>6</v>
      </c>
      <c r="B12" s="23" t="s">
        <v>16</v>
      </c>
      <c r="C12" s="30"/>
      <c r="D12" s="30"/>
      <c r="E12" s="30"/>
      <c r="F12" s="30"/>
      <c r="G12" s="40"/>
      <c r="H12" s="40"/>
      <c r="I12" s="40"/>
    </row>
    <row r="13" spans="1:10" x14ac:dyDescent="0.25">
      <c r="A13" s="37">
        <v>7</v>
      </c>
      <c r="B13" s="23" t="s">
        <v>17</v>
      </c>
      <c r="C13" s="30"/>
      <c r="D13" s="30"/>
      <c r="E13" s="30"/>
      <c r="F13" s="30"/>
      <c r="G13" s="40"/>
      <c r="H13" s="40"/>
      <c r="I13" s="40"/>
    </row>
    <row r="14" spans="1:10" x14ac:dyDescent="0.25">
      <c r="A14" s="39"/>
      <c r="B14" s="39" t="s">
        <v>67</v>
      </c>
      <c r="C14" s="39">
        <f>SUM(C6:C13)</f>
        <v>20</v>
      </c>
      <c r="D14" s="39">
        <f>SUM(D6:D13)</f>
        <v>709</v>
      </c>
      <c r="E14" s="39">
        <f>SUM(E6:E13)</f>
        <v>752</v>
      </c>
      <c r="F14" s="39">
        <f>SUM(F6:F13)</f>
        <v>840</v>
      </c>
      <c r="G14" s="61"/>
      <c r="H14" s="61"/>
      <c r="I14" s="61"/>
    </row>
  </sheetData>
  <mergeCells count="6">
    <mergeCell ref="G3:I3"/>
    <mergeCell ref="A8:A9"/>
    <mergeCell ref="A3:A4"/>
    <mergeCell ref="B3:B4"/>
    <mergeCell ref="C3:C4"/>
    <mergeCell ref="D3:F3"/>
  </mergeCells>
  <conditionalFormatting sqref="G6:I8 G10:I13">
    <cfRule type="cellIs" dxfId="17" priority="2" operator="notBetween">
      <formula>0</formula>
      <formula>4</formula>
    </cfRule>
  </conditionalFormatting>
  <conditionalFormatting sqref="G9:I9">
    <cfRule type="cellIs" dxfId="16" priority="1" operator="notBetween">
      <formula>0</formula>
      <formula>4</formula>
    </cfRule>
  </conditionalFormatting>
  <hyperlinks>
    <hyperlink ref="J1" location="'Daftar Tabel'!A1" display="&lt;&lt;&lt; Daftar Tabel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1"/>
  <sheetViews>
    <sheetView workbookViewId="0">
      <pane xSplit="1" ySplit="9" topLeftCell="B10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defaultColWidth="8.7109375" defaultRowHeight="15" x14ac:dyDescent="0.25"/>
  <cols>
    <col min="1" max="1" width="5.7109375" style="21" customWidth="1"/>
    <col min="2" max="2" width="27.5703125" style="21" customWidth="1"/>
    <col min="3" max="3" width="16.7109375" style="21" customWidth="1"/>
    <col min="4" max="6" width="8.7109375" style="21"/>
    <col min="7" max="7" width="18.7109375" style="21" customWidth="1"/>
    <col min="8" max="8" width="14.7109375" style="21" bestFit="1" customWidth="1"/>
    <col min="9" max="9" width="8.7109375" style="63"/>
    <col min="10" max="16384" width="8.7109375" style="21"/>
  </cols>
  <sheetData>
    <row r="1" spans="1:9" x14ac:dyDescent="0.25">
      <c r="A1" s="115" t="s">
        <v>156</v>
      </c>
      <c r="H1" s="127" t="s">
        <v>374</v>
      </c>
    </row>
    <row r="2" spans="1:9" x14ac:dyDescent="0.25">
      <c r="A2" s="115"/>
      <c r="H2" s="135"/>
    </row>
    <row r="3" spans="1:9" hidden="1" x14ac:dyDescent="0.25">
      <c r="A3" s="115"/>
      <c r="B3" s="21" t="s">
        <v>310</v>
      </c>
      <c r="H3" s="127"/>
    </row>
    <row r="4" spans="1:9" hidden="1" x14ac:dyDescent="0.25">
      <c r="A4" s="115"/>
      <c r="H4" s="127"/>
    </row>
    <row r="5" spans="1:9" hidden="1" x14ac:dyDescent="0.25">
      <c r="A5" s="115"/>
      <c r="B5" s="21" t="s">
        <v>7</v>
      </c>
      <c r="H5" s="127"/>
    </row>
    <row r="6" spans="1:9" hidden="1" x14ac:dyDescent="0.25">
      <c r="A6" s="115"/>
    </row>
    <row r="7" spans="1:9" ht="15" customHeight="1" x14ac:dyDescent="0.25">
      <c r="A7" s="157" t="s">
        <v>0</v>
      </c>
      <c r="B7" s="157" t="s">
        <v>157</v>
      </c>
      <c r="C7" s="157" t="s">
        <v>161</v>
      </c>
      <c r="D7" s="157" t="s">
        <v>160</v>
      </c>
      <c r="E7" s="157"/>
      <c r="F7" s="157"/>
      <c r="G7" s="157" t="s">
        <v>158</v>
      </c>
    </row>
    <row r="8" spans="1:9" ht="25.5" x14ac:dyDescent="0.25">
      <c r="A8" s="157"/>
      <c r="B8" s="157"/>
      <c r="C8" s="157"/>
      <c r="D8" s="130" t="s">
        <v>159</v>
      </c>
      <c r="E8" s="130" t="s">
        <v>58</v>
      </c>
      <c r="F8" s="130" t="s">
        <v>57</v>
      </c>
      <c r="G8" s="157"/>
    </row>
    <row r="9" spans="1:9" x14ac:dyDescent="0.25">
      <c r="A9" s="35">
        <v>1</v>
      </c>
      <c r="B9" s="35">
        <v>2</v>
      </c>
      <c r="C9" s="35">
        <v>3</v>
      </c>
      <c r="D9" s="35">
        <v>4</v>
      </c>
      <c r="E9" s="35">
        <v>5</v>
      </c>
      <c r="F9" s="35">
        <v>6</v>
      </c>
      <c r="G9" s="35">
        <v>7</v>
      </c>
    </row>
    <row r="10" spans="1:9" x14ac:dyDescent="0.25">
      <c r="A10" s="132">
        <v>1</v>
      </c>
      <c r="B10" s="31" t="s">
        <v>382</v>
      </c>
      <c r="C10" s="31"/>
      <c r="D10" s="30"/>
      <c r="E10" s="30" t="s">
        <v>7</v>
      </c>
      <c r="F10" s="30"/>
      <c r="G10" s="31"/>
      <c r="I10" s="21"/>
    </row>
    <row r="11" spans="1:9" x14ac:dyDescent="0.25">
      <c r="A11" s="132">
        <v>2</v>
      </c>
      <c r="B11" s="31" t="s">
        <v>383</v>
      </c>
      <c r="C11" s="31"/>
      <c r="D11" s="30"/>
      <c r="E11" s="30" t="s">
        <v>7</v>
      </c>
      <c r="F11" s="30"/>
      <c r="G11" s="31"/>
      <c r="I11" s="21"/>
    </row>
    <row r="12" spans="1:9" x14ac:dyDescent="0.25">
      <c r="A12" s="132">
        <v>3</v>
      </c>
      <c r="B12" s="31" t="s">
        <v>384</v>
      </c>
      <c r="C12" s="31"/>
      <c r="D12" s="30" t="s">
        <v>7</v>
      </c>
      <c r="E12" s="30"/>
      <c r="F12" s="30"/>
      <c r="G12" s="31"/>
      <c r="I12" s="21"/>
    </row>
    <row r="13" spans="1:9" x14ac:dyDescent="0.25">
      <c r="A13" s="132">
        <v>4</v>
      </c>
      <c r="B13" s="31" t="s">
        <v>385</v>
      </c>
      <c r="C13" s="31"/>
      <c r="D13" s="30" t="s">
        <v>7</v>
      </c>
      <c r="E13" s="30"/>
      <c r="F13" s="30"/>
      <c r="G13" s="31"/>
      <c r="I13" s="21"/>
    </row>
    <row r="14" spans="1:9" x14ac:dyDescent="0.25">
      <c r="A14" s="132">
        <v>5</v>
      </c>
      <c r="B14" s="31" t="s">
        <v>386</v>
      </c>
      <c r="C14" s="31"/>
      <c r="D14" s="30" t="s">
        <v>7</v>
      </c>
      <c r="E14" s="30"/>
      <c r="F14" s="30"/>
      <c r="G14" s="31"/>
      <c r="I14" s="21"/>
    </row>
    <row r="15" spans="1:9" x14ac:dyDescent="0.25">
      <c r="A15" s="132">
        <v>6</v>
      </c>
      <c r="B15" s="31" t="s">
        <v>387</v>
      </c>
      <c r="C15" s="31"/>
      <c r="D15" s="30" t="s">
        <v>7</v>
      </c>
      <c r="E15" s="30"/>
      <c r="F15" s="30"/>
      <c r="G15" s="31"/>
      <c r="I15" s="21"/>
    </row>
    <row r="16" spans="1:9" x14ac:dyDescent="0.25">
      <c r="A16" s="132">
        <v>7</v>
      </c>
      <c r="B16" s="31" t="s">
        <v>388</v>
      </c>
      <c r="C16" s="31"/>
      <c r="D16" s="30"/>
      <c r="E16" s="30"/>
      <c r="F16" s="30" t="s">
        <v>7</v>
      </c>
      <c r="G16" s="31"/>
      <c r="I16" s="21"/>
    </row>
    <row r="17" spans="1:7" x14ac:dyDescent="0.25">
      <c r="A17" s="132" t="s">
        <v>74</v>
      </c>
      <c r="B17" s="31"/>
      <c r="C17" s="31"/>
      <c r="D17" s="30"/>
      <c r="E17" s="30"/>
      <c r="F17" s="30"/>
      <c r="G17" s="31"/>
    </row>
    <row r="18" spans="1:7" x14ac:dyDescent="0.25">
      <c r="A18" s="129"/>
      <c r="B18" s="156"/>
      <c r="C18" s="156"/>
      <c r="D18" s="129">
        <f>COUNTIFS(B10:B17,"*",D10:D17,"V")</f>
        <v>4</v>
      </c>
      <c r="E18" s="129">
        <f>COUNTIFS(B10:B17,"*",E10:E17,"V")</f>
        <v>2</v>
      </c>
      <c r="F18" s="129">
        <f>COUNTIFS(B10:B17,"*",F10:F17,"V")</f>
        <v>1</v>
      </c>
      <c r="G18" s="62"/>
    </row>
    <row r="19" spans="1:7" x14ac:dyDescent="0.25">
      <c r="A19" s="115"/>
    </row>
    <row r="20" spans="1:7" x14ac:dyDescent="0.25">
      <c r="A20" s="115" t="s">
        <v>27</v>
      </c>
      <c r="D20" s="64"/>
    </row>
    <row r="21" spans="1:7" ht="17.25" x14ac:dyDescent="0.25">
      <c r="A21" s="117" t="s">
        <v>381</v>
      </c>
      <c r="D21" s="63"/>
    </row>
  </sheetData>
  <mergeCells count="6">
    <mergeCell ref="G7:G8"/>
    <mergeCell ref="B18:C18"/>
    <mergeCell ref="A7:A8"/>
    <mergeCell ref="B7:B8"/>
    <mergeCell ref="C7:C8"/>
    <mergeCell ref="D7:F7"/>
  </mergeCells>
  <conditionalFormatting sqref="D10:F10">
    <cfRule type="duplicateValues" dxfId="15" priority="8"/>
  </conditionalFormatting>
  <conditionalFormatting sqref="D17:F17">
    <cfRule type="duplicateValues" dxfId="14" priority="7"/>
  </conditionalFormatting>
  <conditionalFormatting sqref="D11:F11">
    <cfRule type="duplicateValues" dxfId="13" priority="6"/>
  </conditionalFormatting>
  <conditionalFormatting sqref="D12:F12">
    <cfRule type="duplicateValues" dxfId="12" priority="5"/>
  </conditionalFormatting>
  <conditionalFormatting sqref="D13:F13">
    <cfRule type="duplicateValues" dxfId="11" priority="4"/>
  </conditionalFormatting>
  <conditionalFormatting sqref="D14:F14">
    <cfRule type="duplicateValues" dxfId="10" priority="3"/>
  </conditionalFormatting>
  <conditionalFormatting sqref="D15:F15">
    <cfRule type="duplicateValues" dxfId="9" priority="2"/>
  </conditionalFormatting>
  <conditionalFormatting sqref="D16:F16">
    <cfRule type="duplicateValues" dxfId="8" priority="1"/>
  </conditionalFormatting>
  <dataValidations count="1">
    <dataValidation type="list" allowBlank="1" showInputMessage="1" showErrorMessage="1" sqref="D10:F17">
      <formula1>$B$4:$B$5</formula1>
    </dataValidation>
  </dataValidations>
  <hyperlinks>
    <hyperlink ref="H1" location="'Daftar Tabel'!A1" display="&lt;&lt;&lt; Daftar Tabel"/>
  </hyperlink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1"/>
  <sheetViews>
    <sheetView workbookViewId="0">
      <pane xSplit="1" ySplit="9" topLeftCell="B10" activePane="bottomRight" state="frozen"/>
      <selection pane="topRight" activeCell="B1" sqref="B1"/>
      <selection pane="bottomLeft" activeCell="A6" sqref="A6"/>
      <selection pane="bottomRight" activeCell="B10" sqref="B10"/>
    </sheetView>
  </sheetViews>
  <sheetFormatPr defaultColWidth="8.7109375" defaultRowHeight="15" x14ac:dyDescent="0.25"/>
  <cols>
    <col min="1" max="1" width="5.7109375" style="21" customWidth="1"/>
    <col min="2" max="2" width="29" style="21" customWidth="1"/>
    <col min="3" max="3" width="16.7109375" style="21" customWidth="1"/>
    <col min="4" max="6" width="8.7109375" style="21"/>
    <col min="7" max="7" width="18.7109375" style="21" customWidth="1"/>
    <col min="8" max="8" width="14.7109375" style="21" bestFit="1" customWidth="1"/>
    <col min="9" max="9" width="8.7109375" style="63"/>
    <col min="10" max="16384" width="8.7109375" style="21"/>
  </cols>
  <sheetData>
    <row r="1" spans="1:9" x14ac:dyDescent="0.25">
      <c r="A1" s="60" t="s">
        <v>162</v>
      </c>
      <c r="H1" s="127" t="s">
        <v>374</v>
      </c>
    </row>
    <row r="2" spans="1:9" x14ac:dyDescent="0.25">
      <c r="A2" s="60"/>
      <c r="H2" s="135"/>
    </row>
    <row r="3" spans="1:9" hidden="1" x14ac:dyDescent="0.25">
      <c r="A3" s="60"/>
      <c r="B3" s="21" t="s">
        <v>310</v>
      </c>
      <c r="H3" s="127"/>
    </row>
    <row r="4" spans="1:9" hidden="1" x14ac:dyDescent="0.25">
      <c r="A4" s="60"/>
      <c r="H4" s="127"/>
    </row>
    <row r="5" spans="1:9" hidden="1" x14ac:dyDescent="0.25">
      <c r="A5" s="60"/>
      <c r="B5" s="21" t="s">
        <v>7</v>
      </c>
      <c r="H5" s="127"/>
    </row>
    <row r="6" spans="1:9" hidden="1" x14ac:dyDescent="0.25">
      <c r="A6" s="115"/>
    </row>
    <row r="7" spans="1:9" ht="15" customHeight="1" x14ac:dyDescent="0.25">
      <c r="A7" s="157" t="s">
        <v>0</v>
      </c>
      <c r="B7" s="157" t="s">
        <v>157</v>
      </c>
      <c r="C7" s="157" t="s">
        <v>161</v>
      </c>
      <c r="D7" s="157" t="s">
        <v>160</v>
      </c>
      <c r="E7" s="157"/>
      <c r="F7" s="157"/>
      <c r="G7" s="157" t="s">
        <v>158</v>
      </c>
    </row>
    <row r="8" spans="1:9" ht="25.5" x14ac:dyDescent="0.25">
      <c r="A8" s="157"/>
      <c r="B8" s="157"/>
      <c r="C8" s="157"/>
      <c r="D8" s="130" t="s">
        <v>159</v>
      </c>
      <c r="E8" s="130" t="s">
        <v>58</v>
      </c>
      <c r="F8" s="130" t="s">
        <v>57</v>
      </c>
      <c r="G8" s="157"/>
    </row>
    <row r="9" spans="1:9" x14ac:dyDescent="0.25">
      <c r="A9" s="35">
        <v>1</v>
      </c>
      <c r="B9" s="35">
        <v>3</v>
      </c>
      <c r="C9" s="35">
        <v>4</v>
      </c>
      <c r="D9" s="35">
        <v>5</v>
      </c>
      <c r="E9" s="35">
        <v>6</v>
      </c>
      <c r="F9" s="35">
        <v>7</v>
      </c>
      <c r="G9" s="35">
        <v>8</v>
      </c>
    </row>
    <row r="10" spans="1:9" x14ac:dyDescent="0.25">
      <c r="A10" s="132">
        <v>1</v>
      </c>
      <c r="B10" s="31" t="s">
        <v>382</v>
      </c>
      <c r="C10" s="31"/>
      <c r="D10" s="30"/>
      <c r="E10" s="30" t="s">
        <v>7</v>
      </c>
      <c r="F10" s="30"/>
      <c r="G10" s="31"/>
      <c r="I10" s="21"/>
    </row>
    <row r="11" spans="1:9" x14ac:dyDescent="0.25">
      <c r="A11" s="132">
        <v>2</v>
      </c>
      <c r="B11" s="31" t="s">
        <v>383</v>
      </c>
      <c r="C11" s="31"/>
      <c r="D11" s="30" t="s">
        <v>7</v>
      </c>
      <c r="E11" s="30"/>
      <c r="F11" s="30"/>
      <c r="G11" s="31"/>
      <c r="I11" s="21"/>
    </row>
    <row r="12" spans="1:9" x14ac:dyDescent="0.25">
      <c r="A12" s="132">
        <v>3</v>
      </c>
      <c r="B12" s="31" t="s">
        <v>384</v>
      </c>
      <c r="C12" s="31"/>
      <c r="D12" s="30" t="s">
        <v>7</v>
      </c>
      <c r="E12" s="30"/>
      <c r="F12" s="30"/>
      <c r="G12" s="31"/>
      <c r="I12" s="21"/>
    </row>
    <row r="13" spans="1:9" x14ac:dyDescent="0.25">
      <c r="A13" s="132">
        <v>4</v>
      </c>
      <c r="B13" s="31" t="s">
        <v>385</v>
      </c>
      <c r="C13" s="31"/>
      <c r="D13" s="30" t="s">
        <v>7</v>
      </c>
      <c r="E13" s="30"/>
      <c r="F13" s="30"/>
      <c r="G13" s="31"/>
      <c r="I13" s="21"/>
    </row>
    <row r="14" spans="1:9" x14ac:dyDescent="0.25">
      <c r="A14" s="132">
        <v>5</v>
      </c>
      <c r="B14" s="31" t="s">
        <v>386</v>
      </c>
      <c r="C14" s="31"/>
      <c r="D14" s="30"/>
      <c r="E14" s="30"/>
      <c r="F14" s="30" t="s">
        <v>7</v>
      </c>
      <c r="G14" s="31"/>
      <c r="I14" s="21"/>
    </row>
    <row r="15" spans="1:9" x14ac:dyDescent="0.25">
      <c r="A15" s="132">
        <v>6</v>
      </c>
      <c r="B15" s="31" t="s">
        <v>387</v>
      </c>
      <c r="C15" s="31"/>
      <c r="D15" s="30"/>
      <c r="E15" s="30" t="s">
        <v>7</v>
      </c>
      <c r="F15" s="30"/>
      <c r="G15" s="31"/>
      <c r="I15" s="21"/>
    </row>
    <row r="16" spans="1:9" x14ac:dyDescent="0.25">
      <c r="A16" s="132">
        <v>7</v>
      </c>
      <c r="B16" s="31" t="s">
        <v>388</v>
      </c>
      <c r="C16" s="31"/>
      <c r="D16" s="30"/>
      <c r="E16" s="30" t="s">
        <v>7</v>
      </c>
      <c r="F16" s="30"/>
      <c r="G16" s="31"/>
      <c r="I16" s="21"/>
    </row>
    <row r="17" spans="1:7" x14ac:dyDescent="0.25">
      <c r="A17" s="132" t="s">
        <v>74</v>
      </c>
      <c r="B17" s="31"/>
      <c r="C17" s="31"/>
      <c r="D17" s="30"/>
      <c r="E17" s="30"/>
      <c r="F17" s="30"/>
      <c r="G17" s="31"/>
    </row>
    <row r="18" spans="1:7" x14ac:dyDescent="0.25">
      <c r="A18" s="129"/>
      <c r="B18" s="147"/>
      <c r="C18" s="149"/>
      <c r="D18" s="129">
        <f>COUNTIFS(B10:B17,"*",D10:D17,"V")</f>
        <v>3</v>
      </c>
      <c r="E18" s="129">
        <f>COUNTIFS(B10:B17,"*",E10:E17,"V")</f>
        <v>3</v>
      </c>
      <c r="F18" s="129">
        <f>COUNTIFS(B10:B17,"*",F10:F17,"V")</f>
        <v>1</v>
      </c>
      <c r="G18" s="62"/>
    </row>
    <row r="19" spans="1:7" x14ac:dyDescent="0.25">
      <c r="A19" s="115"/>
    </row>
    <row r="20" spans="1:7" x14ac:dyDescent="0.25">
      <c r="A20" s="115" t="s">
        <v>27</v>
      </c>
      <c r="D20" s="64"/>
    </row>
    <row r="21" spans="1:7" ht="17.25" x14ac:dyDescent="0.25">
      <c r="A21" s="117" t="s">
        <v>381</v>
      </c>
      <c r="D21" s="63"/>
    </row>
  </sheetData>
  <mergeCells count="6">
    <mergeCell ref="G7:G8"/>
    <mergeCell ref="B18:C18"/>
    <mergeCell ref="A7:A8"/>
    <mergeCell ref="B7:B8"/>
    <mergeCell ref="C7:C8"/>
    <mergeCell ref="D7:F7"/>
  </mergeCells>
  <conditionalFormatting sqref="D17:F17">
    <cfRule type="duplicateValues" dxfId="7" priority="1"/>
  </conditionalFormatting>
  <conditionalFormatting sqref="D10:F10">
    <cfRule type="duplicateValues" dxfId="6" priority="8"/>
  </conditionalFormatting>
  <conditionalFormatting sqref="D11:F11">
    <cfRule type="duplicateValues" dxfId="5" priority="7"/>
  </conditionalFormatting>
  <conditionalFormatting sqref="D12:F12">
    <cfRule type="duplicateValues" dxfId="4" priority="6"/>
  </conditionalFormatting>
  <conditionalFormatting sqref="D13:F13">
    <cfRule type="duplicateValues" dxfId="3" priority="5"/>
  </conditionalFormatting>
  <conditionalFormatting sqref="D14:F14">
    <cfRule type="duplicateValues" dxfId="2" priority="4"/>
  </conditionalFormatting>
  <conditionalFormatting sqref="D15:F15">
    <cfRule type="duplicateValues" dxfId="1" priority="3"/>
  </conditionalFormatting>
  <conditionalFormatting sqref="D16:F16">
    <cfRule type="duplicateValues" dxfId="0" priority="2"/>
  </conditionalFormatting>
  <dataValidations count="1">
    <dataValidation type="list" allowBlank="1" showInputMessage="1" showErrorMessage="1" sqref="D10:F17">
      <formula1>$B$4:$B$5</formula1>
    </dataValidation>
  </dataValidations>
  <hyperlinks>
    <hyperlink ref="H1" location="'Daftar Tabel'!A1" display="&lt;&lt;&lt; Daftar Tabel"/>
  </hyperlinks>
  <pageMargins left="0.7" right="0.7" top="0.75" bottom="0.75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33"/>
  </sheetPr>
  <dimension ref="A1:I1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M15" sqref="M15"/>
    </sheetView>
  </sheetViews>
  <sheetFormatPr defaultColWidth="8.7109375" defaultRowHeight="15" x14ac:dyDescent="0.25"/>
  <cols>
    <col min="1" max="1" width="5.7109375" style="6" customWidth="1"/>
    <col min="2" max="2" width="28.7109375" style="6" customWidth="1"/>
    <col min="3" max="8" width="10.7109375" style="6" customWidth="1"/>
    <col min="9" max="9" width="14.7109375" style="6" bestFit="1" customWidth="1"/>
    <col min="10" max="16384" width="8.7109375" style="6"/>
  </cols>
  <sheetData>
    <row r="1" spans="1:9" x14ac:dyDescent="0.25">
      <c r="A1" s="60" t="s">
        <v>163</v>
      </c>
      <c r="B1" s="21"/>
      <c r="C1" s="21"/>
      <c r="D1" s="21"/>
      <c r="E1" s="21"/>
      <c r="F1" s="21"/>
      <c r="G1" s="21"/>
      <c r="H1" s="21"/>
      <c r="I1" s="127" t="s">
        <v>374</v>
      </c>
    </row>
    <row r="2" spans="1:9" x14ac:dyDescent="0.25">
      <c r="A2" s="24"/>
      <c r="B2" s="21"/>
      <c r="C2" s="21"/>
      <c r="D2" s="21"/>
      <c r="E2" s="21"/>
      <c r="F2" s="21"/>
      <c r="G2" s="21"/>
      <c r="H2" s="21"/>
    </row>
    <row r="3" spans="1:9" x14ac:dyDescent="0.25">
      <c r="A3" s="157" t="s">
        <v>0</v>
      </c>
      <c r="B3" s="157" t="s">
        <v>150</v>
      </c>
      <c r="C3" s="157" t="s">
        <v>152</v>
      </c>
      <c r="D3" s="157"/>
      <c r="E3" s="157"/>
      <c r="F3" s="157" t="s">
        <v>164</v>
      </c>
      <c r="G3" s="157"/>
      <c r="H3" s="157"/>
    </row>
    <row r="4" spans="1:9" x14ac:dyDescent="0.25">
      <c r="A4" s="157"/>
      <c r="B4" s="157"/>
      <c r="C4" s="33" t="s">
        <v>64</v>
      </c>
      <c r="D4" s="33" t="s">
        <v>65</v>
      </c>
      <c r="E4" s="33" t="s">
        <v>66</v>
      </c>
      <c r="F4" s="33" t="s">
        <v>64</v>
      </c>
      <c r="G4" s="33" t="s">
        <v>65</v>
      </c>
      <c r="H4" s="33" t="s">
        <v>66</v>
      </c>
    </row>
    <row r="5" spans="1:9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  <c r="H5" s="35">
        <v>8</v>
      </c>
    </row>
    <row r="6" spans="1:9" ht="25.5" x14ac:dyDescent="0.25">
      <c r="A6" s="37">
        <v>1</v>
      </c>
      <c r="B6" s="23" t="s">
        <v>154</v>
      </c>
      <c r="C6" s="30"/>
      <c r="D6" s="30"/>
      <c r="E6" s="30"/>
      <c r="F6" s="40"/>
      <c r="G6" s="40"/>
      <c r="H6" s="40"/>
    </row>
    <row r="7" spans="1:9" ht="25.5" x14ac:dyDescent="0.25">
      <c r="A7" s="37">
        <v>2</v>
      </c>
      <c r="B7" s="23" t="s">
        <v>77</v>
      </c>
      <c r="C7" s="30">
        <v>10</v>
      </c>
      <c r="D7" s="30">
        <v>7</v>
      </c>
      <c r="E7" s="30">
        <v>10</v>
      </c>
      <c r="F7" s="40">
        <v>2.67</v>
      </c>
      <c r="G7" s="40">
        <v>2.5</v>
      </c>
      <c r="H7" s="40">
        <v>2.33</v>
      </c>
    </row>
    <row r="8" spans="1:9" x14ac:dyDescent="0.25">
      <c r="A8" s="166">
        <v>3</v>
      </c>
      <c r="B8" s="23" t="s">
        <v>256</v>
      </c>
      <c r="C8" s="30"/>
      <c r="D8" s="30"/>
      <c r="E8" s="30"/>
      <c r="F8" s="40"/>
      <c r="G8" s="40"/>
      <c r="H8" s="40"/>
    </row>
    <row r="9" spans="1:9" x14ac:dyDescent="0.25">
      <c r="A9" s="167"/>
      <c r="B9" s="78" t="s">
        <v>257</v>
      </c>
      <c r="C9" s="30">
        <v>101</v>
      </c>
      <c r="D9" s="30">
        <v>122</v>
      </c>
      <c r="E9" s="30">
        <v>136</v>
      </c>
      <c r="F9" s="40">
        <v>2</v>
      </c>
      <c r="G9" s="40">
        <v>2</v>
      </c>
      <c r="H9" s="40">
        <v>2</v>
      </c>
    </row>
    <row r="10" spans="1:9" x14ac:dyDescent="0.25">
      <c r="A10" s="37">
        <v>4</v>
      </c>
      <c r="B10" s="23" t="s">
        <v>13</v>
      </c>
      <c r="C10" s="54">
        <v>598</v>
      </c>
      <c r="D10" s="30">
        <v>623</v>
      </c>
      <c r="E10" s="30">
        <v>639</v>
      </c>
      <c r="F10" s="40">
        <v>5.5</v>
      </c>
      <c r="G10" s="40">
        <v>5</v>
      </c>
      <c r="H10" s="40">
        <v>4.67</v>
      </c>
    </row>
    <row r="11" spans="1:9" x14ac:dyDescent="0.25">
      <c r="A11" s="37">
        <v>5</v>
      </c>
      <c r="B11" s="23" t="s">
        <v>155</v>
      </c>
      <c r="C11" s="30"/>
      <c r="D11" s="30"/>
      <c r="E11" s="30">
        <v>55</v>
      </c>
      <c r="F11" s="40"/>
      <c r="G11" s="40"/>
      <c r="H11" s="40">
        <v>3.67</v>
      </c>
    </row>
    <row r="12" spans="1:9" x14ac:dyDescent="0.25">
      <c r="A12" s="37">
        <v>6</v>
      </c>
      <c r="B12" s="23" t="s">
        <v>16</v>
      </c>
      <c r="C12" s="30"/>
      <c r="D12" s="30"/>
      <c r="E12" s="30"/>
      <c r="F12" s="40"/>
      <c r="G12" s="40"/>
      <c r="H12" s="40"/>
    </row>
    <row r="13" spans="1:9" x14ac:dyDescent="0.25">
      <c r="A13" s="37">
        <v>7</v>
      </c>
      <c r="B13" s="23" t="s">
        <v>17</v>
      </c>
      <c r="C13" s="30"/>
      <c r="D13" s="30"/>
      <c r="E13" s="30"/>
      <c r="F13" s="40"/>
      <c r="G13" s="40"/>
      <c r="H13" s="40"/>
    </row>
    <row r="14" spans="1:9" x14ac:dyDescent="0.25">
      <c r="A14" s="39"/>
      <c r="B14" s="39" t="s">
        <v>67</v>
      </c>
      <c r="C14" s="39">
        <f>SUM(C6:C13)</f>
        <v>709</v>
      </c>
      <c r="D14" s="39">
        <f>SUM(D6:D13)</f>
        <v>752</v>
      </c>
      <c r="E14" s="39">
        <f>SUM(E6:E13)</f>
        <v>840</v>
      </c>
      <c r="F14" s="61"/>
      <c r="G14" s="61"/>
      <c r="H14" s="61"/>
    </row>
  </sheetData>
  <mergeCells count="5">
    <mergeCell ref="A3:A4"/>
    <mergeCell ref="B3:B4"/>
    <mergeCell ref="C3:E3"/>
    <mergeCell ref="F3:H3"/>
    <mergeCell ref="A8:A9"/>
  </mergeCells>
  <hyperlinks>
    <hyperlink ref="I1" location="'Daftar Tabel'!A1" display="&lt;&lt;&lt; Daftar Tabel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83"/>
  <sheetViews>
    <sheetView workbookViewId="0">
      <pane ySplit="2" topLeftCell="A3" activePane="bottomLeft" state="frozen"/>
      <selection pane="bottomLeft" activeCell="B8" sqref="B8"/>
    </sheetView>
  </sheetViews>
  <sheetFormatPr defaultColWidth="8.7109375" defaultRowHeight="15" x14ac:dyDescent="0.25"/>
  <cols>
    <col min="1" max="9" width="10.7109375" style="21" customWidth="1"/>
    <col min="10" max="10" width="14.7109375" style="21" bestFit="1" customWidth="1"/>
    <col min="11" max="16384" width="8.7109375" style="21"/>
  </cols>
  <sheetData>
    <row r="1" spans="1:10" x14ac:dyDescent="0.25">
      <c r="A1" s="82" t="s">
        <v>258</v>
      </c>
      <c r="J1" s="127" t="s">
        <v>374</v>
      </c>
    </row>
    <row r="2" spans="1:10" x14ac:dyDescent="0.25">
      <c r="A2" s="82"/>
    </row>
    <row r="3" spans="1:10" x14ac:dyDescent="0.25">
      <c r="A3" s="24" t="s">
        <v>165</v>
      </c>
    </row>
    <row r="4" spans="1:10" x14ac:dyDescent="0.25">
      <c r="A4" s="57"/>
    </row>
    <row r="5" spans="1:10" ht="28.9" customHeight="1" x14ac:dyDescent="0.25">
      <c r="A5" s="157" t="s">
        <v>166</v>
      </c>
      <c r="B5" s="157" t="s">
        <v>177</v>
      </c>
      <c r="C5" s="157"/>
      <c r="D5" s="157"/>
      <c r="E5" s="157"/>
      <c r="F5" s="157"/>
      <c r="G5" s="157"/>
      <c r="H5" s="157"/>
      <c r="I5" s="157" t="s">
        <v>167</v>
      </c>
    </row>
    <row r="6" spans="1:10" x14ac:dyDescent="0.25">
      <c r="A6" s="157"/>
      <c r="B6" s="33" t="s">
        <v>168</v>
      </c>
      <c r="C6" s="33" t="s">
        <v>169</v>
      </c>
      <c r="D6" s="33" t="s">
        <v>170</v>
      </c>
      <c r="E6" s="33" t="s">
        <v>171</v>
      </c>
      <c r="F6" s="33" t="s">
        <v>172</v>
      </c>
      <c r="G6" s="33" t="s">
        <v>173</v>
      </c>
      <c r="H6" s="33" t="s">
        <v>174</v>
      </c>
      <c r="I6" s="157"/>
    </row>
    <row r="7" spans="1:10" x14ac:dyDescent="0.25">
      <c r="A7" s="35">
        <v>1</v>
      </c>
      <c r="B7" s="35">
        <v>2</v>
      </c>
      <c r="C7" s="35">
        <v>3</v>
      </c>
      <c r="D7" s="35">
        <v>4</v>
      </c>
      <c r="E7" s="35">
        <v>5</v>
      </c>
      <c r="F7" s="35">
        <v>6</v>
      </c>
      <c r="G7" s="35">
        <v>7</v>
      </c>
      <c r="H7" s="35">
        <v>8</v>
      </c>
      <c r="I7" s="35">
        <v>9</v>
      </c>
    </row>
    <row r="8" spans="1:10" x14ac:dyDescent="0.25">
      <c r="A8" s="37" t="s">
        <v>175</v>
      </c>
      <c r="B8" s="30"/>
      <c r="C8" s="30"/>
      <c r="D8" s="30"/>
      <c r="E8" s="30"/>
      <c r="F8" s="30"/>
      <c r="G8" s="30"/>
      <c r="H8" s="30"/>
      <c r="I8" s="30"/>
    </row>
    <row r="9" spans="1:10" x14ac:dyDescent="0.25">
      <c r="A9" s="37" t="s">
        <v>176</v>
      </c>
      <c r="B9" s="86"/>
      <c r="C9" s="30"/>
      <c r="D9" s="30"/>
      <c r="E9" s="30"/>
      <c r="F9" s="30"/>
      <c r="G9" s="30"/>
      <c r="H9" s="30"/>
      <c r="I9" s="30"/>
    </row>
    <row r="10" spans="1:10" x14ac:dyDescent="0.25">
      <c r="A10" s="37" t="s">
        <v>62</v>
      </c>
      <c r="B10" s="86"/>
      <c r="C10" s="86"/>
      <c r="D10" s="30"/>
      <c r="E10" s="30"/>
      <c r="F10" s="30"/>
      <c r="G10" s="30"/>
      <c r="H10" s="30"/>
      <c r="I10" s="30"/>
    </row>
    <row r="11" spans="1:10" x14ac:dyDescent="0.25">
      <c r="A11" s="37" t="s">
        <v>63</v>
      </c>
      <c r="B11" s="86"/>
      <c r="C11" s="86"/>
      <c r="D11" s="86"/>
      <c r="E11" s="30"/>
      <c r="F11" s="30"/>
      <c r="G11" s="30"/>
      <c r="H11" s="30"/>
      <c r="I11" s="30"/>
    </row>
    <row r="12" spans="1:10" x14ac:dyDescent="0.25">
      <c r="A12" s="37" t="s">
        <v>64</v>
      </c>
      <c r="B12" s="86"/>
      <c r="C12" s="86"/>
      <c r="D12" s="86"/>
      <c r="E12" s="86"/>
      <c r="F12" s="30"/>
      <c r="G12" s="30"/>
      <c r="H12" s="30"/>
      <c r="I12" s="30"/>
    </row>
    <row r="13" spans="1:10" x14ac:dyDescent="0.25">
      <c r="A13" s="37" t="s">
        <v>65</v>
      </c>
      <c r="B13" s="86"/>
      <c r="C13" s="86"/>
      <c r="D13" s="86"/>
      <c r="E13" s="86"/>
      <c r="F13" s="86"/>
      <c r="G13" s="30"/>
      <c r="H13" s="30"/>
      <c r="I13" s="86"/>
    </row>
    <row r="14" spans="1:10" x14ac:dyDescent="0.25">
      <c r="A14" s="37" t="s">
        <v>66</v>
      </c>
      <c r="B14" s="86"/>
      <c r="C14" s="86"/>
      <c r="D14" s="86"/>
      <c r="E14" s="86"/>
      <c r="F14" s="86"/>
      <c r="G14" s="86"/>
      <c r="H14" s="30"/>
      <c r="I14" s="86"/>
    </row>
    <row r="16" spans="1:10" x14ac:dyDescent="0.25">
      <c r="A16" s="24" t="s">
        <v>178</v>
      </c>
    </row>
    <row r="17" spans="1:6" x14ac:dyDescent="0.25">
      <c r="A17" s="57"/>
    </row>
    <row r="18" spans="1:6" ht="28.9" customHeight="1" x14ac:dyDescent="0.25">
      <c r="A18" s="159" t="s">
        <v>166</v>
      </c>
      <c r="B18" s="159" t="s">
        <v>177</v>
      </c>
      <c r="C18" s="159"/>
      <c r="D18" s="159"/>
      <c r="E18" s="159"/>
      <c r="F18" s="160" t="s">
        <v>167</v>
      </c>
    </row>
    <row r="19" spans="1:6" x14ac:dyDescent="0.25">
      <c r="A19" s="159"/>
      <c r="B19" s="29" t="s">
        <v>171</v>
      </c>
      <c r="C19" s="29" t="s">
        <v>172</v>
      </c>
      <c r="D19" s="29" t="s">
        <v>173</v>
      </c>
      <c r="E19" s="29" t="s">
        <v>174</v>
      </c>
      <c r="F19" s="161"/>
    </row>
    <row r="20" spans="1:6" x14ac:dyDescent="0.25">
      <c r="A20" s="35">
        <v>1</v>
      </c>
      <c r="B20" s="35">
        <v>2</v>
      </c>
      <c r="C20" s="35">
        <v>3</v>
      </c>
      <c r="D20" s="35">
        <v>4</v>
      </c>
      <c r="E20" s="35">
        <v>5</v>
      </c>
      <c r="F20" s="35">
        <v>6</v>
      </c>
    </row>
    <row r="21" spans="1:6" x14ac:dyDescent="0.25">
      <c r="A21" s="37" t="s">
        <v>63</v>
      </c>
      <c r="B21" s="30">
        <v>10</v>
      </c>
      <c r="C21" s="30"/>
      <c r="D21" s="30"/>
      <c r="E21" s="30">
        <v>1</v>
      </c>
      <c r="F21" s="30">
        <v>7</v>
      </c>
    </row>
    <row r="22" spans="1:6" x14ac:dyDescent="0.25">
      <c r="A22" s="37" t="s">
        <v>64</v>
      </c>
      <c r="B22" s="86"/>
      <c r="C22" s="30"/>
      <c r="D22" s="30"/>
      <c r="E22" s="30"/>
      <c r="F22" s="30"/>
    </row>
    <row r="23" spans="1:6" x14ac:dyDescent="0.25">
      <c r="A23" s="37" t="s">
        <v>65</v>
      </c>
      <c r="B23" s="86"/>
      <c r="C23" s="86"/>
      <c r="D23" s="30">
        <v>10</v>
      </c>
      <c r="E23" s="30">
        <v>4</v>
      </c>
      <c r="F23" s="30">
        <v>6</v>
      </c>
    </row>
    <row r="24" spans="1:6" x14ac:dyDescent="0.25">
      <c r="A24" s="37" t="s">
        <v>66</v>
      </c>
      <c r="B24" s="86"/>
      <c r="C24" s="86"/>
      <c r="D24" s="86"/>
      <c r="E24" s="30"/>
      <c r="F24" s="86"/>
    </row>
    <row r="26" spans="1:6" x14ac:dyDescent="0.25">
      <c r="A26" s="24" t="s">
        <v>179</v>
      </c>
    </row>
    <row r="27" spans="1:6" x14ac:dyDescent="0.25">
      <c r="A27" s="57"/>
    </row>
    <row r="28" spans="1:6" ht="28.9" customHeight="1" x14ac:dyDescent="0.25">
      <c r="A28" s="157" t="s">
        <v>166</v>
      </c>
      <c r="B28" s="157" t="s">
        <v>177</v>
      </c>
      <c r="C28" s="157"/>
      <c r="D28" s="157"/>
      <c r="E28" s="157" t="s">
        <v>186</v>
      </c>
    </row>
    <row r="29" spans="1:6" x14ac:dyDescent="0.25">
      <c r="A29" s="157"/>
      <c r="B29" s="33" t="s">
        <v>182</v>
      </c>
      <c r="C29" s="33" t="s">
        <v>183</v>
      </c>
      <c r="D29" s="33" t="s">
        <v>184</v>
      </c>
      <c r="E29" s="157"/>
    </row>
    <row r="30" spans="1:6" x14ac:dyDescent="0.25">
      <c r="A30" s="35">
        <v>1</v>
      </c>
      <c r="B30" s="35">
        <v>2</v>
      </c>
      <c r="C30" s="35">
        <v>3</v>
      </c>
      <c r="D30" s="35">
        <v>4</v>
      </c>
      <c r="E30" s="35">
        <v>5</v>
      </c>
    </row>
    <row r="31" spans="1:6" x14ac:dyDescent="0.25">
      <c r="A31" s="81" t="s">
        <v>65</v>
      </c>
      <c r="B31" s="30"/>
      <c r="C31" s="30"/>
      <c r="D31" s="30"/>
      <c r="E31" s="30"/>
    </row>
    <row r="32" spans="1:6" x14ac:dyDescent="0.25">
      <c r="A32" s="81" t="s">
        <v>66</v>
      </c>
      <c r="B32" s="86"/>
      <c r="C32" s="30"/>
      <c r="D32" s="30"/>
      <c r="E32" s="30"/>
    </row>
    <row r="33" spans="1:9" x14ac:dyDescent="0.25">
      <c r="A33" s="24"/>
    </row>
    <row r="34" spans="1:9" x14ac:dyDescent="0.25">
      <c r="A34" s="115"/>
    </row>
    <row r="35" spans="1:9" x14ac:dyDescent="0.25">
      <c r="A35" s="24" t="s">
        <v>185</v>
      </c>
    </row>
    <row r="36" spans="1:9" x14ac:dyDescent="0.25">
      <c r="A36" s="57"/>
    </row>
    <row r="37" spans="1:9" ht="28.9" customHeight="1" x14ac:dyDescent="0.25">
      <c r="A37" s="157" t="s">
        <v>166</v>
      </c>
      <c r="B37" s="150" t="s">
        <v>177</v>
      </c>
      <c r="C37" s="168"/>
      <c r="D37" s="151"/>
      <c r="E37" s="157" t="s">
        <v>180</v>
      </c>
    </row>
    <row r="38" spans="1:9" x14ac:dyDescent="0.25">
      <c r="A38" s="157"/>
      <c r="B38" s="33" t="s">
        <v>181</v>
      </c>
      <c r="C38" s="33" t="s">
        <v>182</v>
      </c>
      <c r="D38" s="33" t="s">
        <v>184</v>
      </c>
      <c r="E38" s="157"/>
    </row>
    <row r="39" spans="1:9" x14ac:dyDescent="0.25">
      <c r="A39" s="35">
        <v>1</v>
      </c>
      <c r="B39" s="35">
        <v>2</v>
      </c>
      <c r="C39" s="35">
        <v>3</v>
      </c>
      <c r="D39" s="35">
        <v>4</v>
      </c>
      <c r="E39" s="35">
        <v>5</v>
      </c>
    </row>
    <row r="40" spans="1:9" x14ac:dyDescent="0.25">
      <c r="A40" s="37" t="s">
        <v>64</v>
      </c>
      <c r="B40" s="30">
        <v>100</v>
      </c>
      <c r="C40" s="30"/>
      <c r="D40" s="30">
        <v>10</v>
      </c>
      <c r="E40" s="30">
        <v>80</v>
      </c>
    </row>
    <row r="41" spans="1:9" x14ac:dyDescent="0.25">
      <c r="A41" s="37" t="s">
        <v>65</v>
      </c>
      <c r="B41" s="86"/>
      <c r="C41" s="30">
        <v>100</v>
      </c>
      <c r="D41" s="30">
        <v>10</v>
      </c>
      <c r="E41" s="30">
        <v>90</v>
      </c>
    </row>
    <row r="42" spans="1:9" x14ac:dyDescent="0.25">
      <c r="A42" s="37" t="s">
        <v>66</v>
      </c>
      <c r="B42" s="86"/>
      <c r="C42" s="86"/>
      <c r="D42" s="30"/>
      <c r="E42" s="86"/>
    </row>
    <row r="43" spans="1:9" x14ac:dyDescent="0.25">
      <c r="A43" s="24"/>
    </row>
    <row r="44" spans="1:9" x14ac:dyDescent="0.25">
      <c r="A44" s="24" t="s">
        <v>187</v>
      </c>
    </row>
    <row r="45" spans="1:9" x14ac:dyDescent="0.25">
      <c r="A45" s="57"/>
    </row>
    <row r="46" spans="1:9" ht="28.9" customHeight="1" x14ac:dyDescent="0.25">
      <c r="A46" s="157" t="s">
        <v>166</v>
      </c>
      <c r="B46" s="157" t="s">
        <v>177</v>
      </c>
      <c r="C46" s="157"/>
      <c r="D46" s="157"/>
      <c r="E46" s="157"/>
      <c r="F46" s="157"/>
      <c r="G46" s="157"/>
      <c r="H46" s="157"/>
      <c r="I46" s="157" t="s">
        <v>180</v>
      </c>
    </row>
    <row r="47" spans="1:9" x14ac:dyDescent="0.25">
      <c r="A47" s="157"/>
      <c r="B47" s="33" t="s">
        <v>188</v>
      </c>
      <c r="C47" s="33" t="s">
        <v>189</v>
      </c>
      <c r="D47" s="33" t="s">
        <v>190</v>
      </c>
      <c r="E47" s="33" t="s">
        <v>191</v>
      </c>
      <c r="F47" s="33" t="s">
        <v>181</v>
      </c>
      <c r="G47" s="33" t="s">
        <v>182</v>
      </c>
      <c r="H47" s="33" t="s">
        <v>174</v>
      </c>
      <c r="I47" s="157"/>
    </row>
    <row r="48" spans="1:9" x14ac:dyDescent="0.25">
      <c r="A48" s="35">
        <v>1</v>
      </c>
      <c r="B48" s="35">
        <v>2</v>
      </c>
      <c r="C48" s="35">
        <v>3</v>
      </c>
      <c r="D48" s="35">
        <v>4</v>
      </c>
      <c r="E48" s="35">
        <v>5</v>
      </c>
      <c r="F48" s="35">
        <v>6</v>
      </c>
      <c r="G48" s="35">
        <v>7</v>
      </c>
      <c r="H48" s="35">
        <v>8</v>
      </c>
      <c r="I48" s="35">
        <v>9</v>
      </c>
    </row>
    <row r="49" spans="1:9" x14ac:dyDescent="0.25">
      <c r="A49" s="37" t="s">
        <v>175</v>
      </c>
      <c r="B49" s="30">
        <v>500</v>
      </c>
      <c r="C49" s="30"/>
      <c r="D49" s="30"/>
      <c r="E49" s="30"/>
      <c r="F49" s="30"/>
      <c r="G49" s="30"/>
      <c r="H49" s="30">
        <v>10</v>
      </c>
      <c r="I49" s="30">
        <v>430</v>
      </c>
    </row>
    <row r="50" spans="1:9" x14ac:dyDescent="0.25">
      <c r="A50" s="37" t="s">
        <v>176</v>
      </c>
      <c r="B50" s="86"/>
      <c r="C50" s="30"/>
      <c r="D50" s="30"/>
      <c r="E50" s="30"/>
      <c r="F50" s="30"/>
      <c r="G50" s="30"/>
      <c r="H50" s="30"/>
      <c r="I50" s="30"/>
    </row>
    <row r="51" spans="1:9" x14ac:dyDescent="0.25">
      <c r="A51" s="37" t="s">
        <v>62</v>
      </c>
      <c r="B51" s="86"/>
      <c r="C51" s="86"/>
      <c r="D51" s="30"/>
      <c r="E51" s="30"/>
      <c r="F51" s="30"/>
      <c r="G51" s="30"/>
      <c r="H51" s="30"/>
      <c r="I51" s="30"/>
    </row>
    <row r="52" spans="1:9" x14ac:dyDescent="0.25">
      <c r="A52" s="37" t="s">
        <v>63</v>
      </c>
      <c r="B52" s="86"/>
      <c r="C52" s="86"/>
      <c r="D52" s="86"/>
      <c r="E52" s="30">
        <v>500</v>
      </c>
      <c r="F52" s="30"/>
      <c r="G52" s="30"/>
      <c r="H52" s="30">
        <v>120</v>
      </c>
      <c r="I52" s="30">
        <v>380</v>
      </c>
    </row>
    <row r="53" spans="1:9" x14ac:dyDescent="0.25">
      <c r="A53" s="37" t="s">
        <v>64</v>
      </c>
      <c r="B53" s="86"/>
      <c r="C53" s="86"/>
      <c r="D53" s="86"/>
      <c r="E53" s="86"/>
      <c r="F53" s="30"/>
      <c r="G53" s="30"/>
      <c r="H53" s="30"/>
      <c r="I53" s="86"/>
    </row>
    <row r="54" spans="1:9" x14ac:dyDescent="0.25">
      <c r="A54" s="37" t="s">
        <v>65</v>
      </c>
      <c r="B54" s="86"/>
      <c r="C54" s="86"/>
      <c r="D54" s="86"/>
      <c r="E54" s="86"/>
      <c r="F54" s="86"/>
      <c r="G54" s="30"/>
      <c r="H54" s="30"/>
      <c r="I54" s="86"/>
    </row>
    <row r="55" spans="1:9" x14ac:dyDescent="0.25">
      <c r="A55" s="37" t="s">
        <v>66</v>
      </c>
      <c r="B55" s="86"/>
      <c r="C55" s="86"/>
      <c r="D55" s="86"/>
      <c r="E55" s="86"/>
      <c r="F55" s="86"/>
      <c r="G55" s="86"/>
      <c r="H55" s="30"/>
      <c r="I55" s="86"/>
    </row>
    <row r="56" spans="1:9" x14ac:dyDescent="0.25">
      <c r="A56" s="24"/>
    </row>
    <row r="57" spans="1:9" x14ac:dyDescent="0.25">
      <c r="A57" s="24" t="s">
        <v>192</v>
      </c>
    </row>
    <row r="58" spans="1:9" x14ac:dyDescent="0.25">
      <c r="A58" s="57"/>
    </row>
    <row r="59" spans="1:9" ht="29.65" customHeight="1" x14ac:dyDescent="0.25">
      <c r="A59" s="157" t="s">
        <v>166</v>
      </c>
      <c r="B59" s="157" t="s">
        <v>177</v>
      </c>
      <c r="C59" s="157"/>
      <c r="D59" s="157"/>
      <c r="E59" s="157"/>
      <c r="F59" s="157"/>
      <c r="G59" s="152" t="s">
        <v>197</v>
      </c>
    </row>
    <row r="60" spans="1:9" x14ac:dyDescent="0.25">
      <c r="A60" s="157"/>
      <c r="B60" s="33" t="s">
        <v>190</v>
      </c>
      <c r="C60" s="33" t="s">
        <v>191</v>
      </c>
      <c r="D60" s="33" t="s">
        <v>181</v>
      </c>
      <c r="E60" s="33" t="s">
        <v>182</v>
      </c>
      <c r="F60" s="33" t="s">
        <v>174</v>
      </c>
      <c r="G60" s="153"/>
    </row>
    <row r="61" spans="1:9" x14ac:dyDescent="0.25">
      <c r="A61" s="35">
        <v>1</v>
      </c>
      <c r="B61" s="35">
        <v>2</v>
      </c>
      <c r="C61" s="35">
        <v>3</v>
      </c>
      <c r="D61" s="35">
        <v>4</v>
      </c>
      <c r="E61" s="35">
        <v>5</v>
      </c>
      <c r="F61" s="35">
        <v>6</v>
      </c>
      <c r="G61" s="35">
        <v>7</v>
      </c>
    </row>
    <row r="62" spans="1:9" x14ac:dyDescent="0.25">
      <c r="A62" s="37" t="s">
        <v>62</v>
      </c>
      <c r="B62" s="30">
        <v>50</v>
      </c>
      <c r="C62" s="30"/>
      <c r="D62" s="30"/>
      <c r="E62" s="30"/>
      <c r="F62" s="30">
        <v>25</v>
      </c>
      <c r="G62" s="30">
        <v>20</v>
      </c>
    </row>
    <row r="63" spans="1:9" x14ac:dyDescent="0.25">
      <c r="A63" s="37" t="s">
        <v>63</v>
      </c>
      <c r="B63" s="86"/>
      <c r="C63" s="30"/>
      <c r="D63" s="30"/>
      <c r="E63" s="30"/>
      <c r="F63" s="30"/>
      <c r="G63" s="30"/>
    </row>
    <row r="64" spans="1:9" x14ac:dyDescent="0.25">
      <c r="A64" s="37" t="s">
        <v>64</v>
      </c>
      <c r="B64" s="86"/>
      <c r="C64" s="86"/>
      <c r="D64" s="30">
        <v>50</v>
      </c>
      <c r="E64" s="30"/>
      <c r="F64" s="30">
        <v>40</v>
      </c>
      <c r="G64" s="30">
        <v>10</v>
      </c>
    </row>
    <row r="65" spans="1:7" x14ac:dyDescent="0.25">
      <c r="A65" s="37" t="s">
        <v>65</v>
      </c>
      <c r="B65" s="86"/>
      <c r="C65" s="86"/>
      <c r="D65" s="86"/>
      <c r="E65" s="30"/>
      <c r="F65" s="30"/>
      <c r="G65" s="86"/>
    </row>
    <row r="66" spans="1:7" x14ac:dyDescent="0.25">
      <c r="A66" s="37" t="s">
        <v>66</v>
      </c>
      <c r="B66" s="86"/>
      <c r="C66" s="86"/>
      <c r="D66" s="86"/>
      <c r="E66" s="86"/>
      <c r="F66" s="30"/>
      <c r="G66" s="86"/>
    </row>
    <row r="68" spans="1:7" x14ac:dyDescent="0.25">
      <c r="A68" s="24" t="s">
        <v>193</v>
      </c>
    </row>
    <row r="69" spans="1:7" x14ac:dyDescent="0.25">
      <c r="A69" s="57"/>
    </row>
    <row r="70" spans="1:7" ht="36.4" customHeight="1" x14ac:dyDescent="0.25">
      <c r="A70" s="157" t="s">
        <v>166</v>
      </c>
      <c r="B70" s="157" t="s">
        <v>177</v>
      </c>
      <c r="C70" s="157"/>
      <c r="D70" s="157"/>
      <c r="E70" s="157" t="s">
        <v>180</v>
      </c>
    </row>
    <row r="71" spans="1:7" x14ac:dyDescent="0.25">
      <c r="A71" s="157"/>
      <c r="B71" s="33" t="s">
        <v>181</v>
      </c>
      <c r="C71" s="33" t="s">
        <v>182</v>
      </c>
      <c r="D71" s="33" t="s">
        <v>174</v>
      </c>
      <c r="E71" s="157"/>
    </row>
    <row r="72" spans="1:7" x14ac:dyDescent="0.25">
      <c r="A72" s="35">
        <v>1</v>
      </c>
      <c r="B72" s="35">
        <v>2</v>
      </c>
      <c r="C72" s="35">
        <v>3</v>
      </c>
      <c r="D72" s="35">
        <v>4</v>
      </c>
      <c r="E72" s="35">
        <v>5</v>
      </c>
    </row>
    <row r="73" spans="1:7" x14ac:dyDescent="0.25">
      <c r="A73" s="37" t="s">
        <v>64</v>
      </c>
      <c r="B73" s="30"/>
      <c r="C73" s="30"/>
      <c r="D73" s="30"/>
      <c r="E73" s="30"/>
    </row>
    <row r="74" spans="1:7" x14ac:dyDescent="0.25">
      <c r="A74" s="37" t="s">
        <v>65</v>
      </c>
      <c r="B74" s="86"/>
      <c r="C74" s="30"/>
      <c r="D74" s="30"/>
      <c r="E74" s="30"/>
    </row>
    <row r="75" spans="1:7" x14ac:dyDescent="0.25">
      <c r="A75" s="37" t="s">
        <v>66</v>
      </c>
      <c r="B75" s="86"/>
      <c r="C75" s="86"/>
      <c r="D75" s="30"/>
      <c r="E75" s="86"/>
    </row>
    <row r="76" spans="1:7" x14ac:dyDescent="0.25">
      <c r="A76" s="24"/>
    </row>
    <row r="77" spans="1:7" x14ac:dyDescent="0.25">
      <c r="A77" s="24" t="s">
        <v>194</v>
      </c>
    </row>
    <row r="78" spans="1:7" x14ac:dyDescent="0.25">
      <c r="A78" s="57"/>
    </row>
    <row r="79" spans="1:7" ht="37.15" customHeight="1" x14ac:dyDescent="0.25">
      <c r="A79" s="157" t="s">
        <v>166</v>
      </c>
      <c r="B79" s="157" t="s">
        <v>196</v>
      </c>
      <c r="C79" s="157"/>
      <c r="D79" s="157"/>
      <c r="E79" s="157" t="s">
        <v>195</v>
      </c>
    </row>
    <row r="80" spans="1:7" x14ac:dyDescent="0.25">
      <c r="A80" s="157"/>
      <c r="B80" s="33" t="s">
        <v>182</v>
      </c>
      <c r="C80" s="33" t="s">
        <v>183</v>
      </c>
      <c r="D80" s="33" t="s">
        <v>184</v>
      </c>
      <c r="E80" s="157"/>
    </row>
    <row r="81" spans="1:5" x14ac:dyDescent="0.25">
      <c r="A81" s="35">
        <v>1</v>
      </c>
      <c r="B81" s="35">
        <v>2</v>
      </c>
      <c r="C81" s="35">
        <v>3</v>
      </c>
      <c r="D81" s="35">
        <v>4</v>
      </c>
      <c r="E81" s="35">
        <v>5</v>
      </c>
    </row>
    <row r="82" spans="1:5" x14ac:dyDescent="0.25">
      <c r="A82" s="25" t="s">
        <v>65</v>
      </c>
      <c r="B82" s="30"/>
      <c r="C82" s="30"/>
      <c r="D82" s="30"/>
      <c r="E82" s="30"/>
    </row>
    <row r="83" spans="1:5" x14ac:dyDescent="0.25">
      <c r="A83" s="25" t="s">
        <v>66</v>
      </c>
      <c r="B83" s="86"/>
      <c r="C83" s="30"/>
      <c r="D83" s="30"/>
      <c r="E83" s="30"/>
    </row>
  </sheetData>
  <mergeCells count="24">
    <mergeCell ref="I5:I6"/>
    <mergeCell ref="A18:A19"/>
    <mergeCell ref="B18:E18"/>
    <mergeCell ref="F18:F19"/>
    <mergeCell ref="A28:A29"/>
    <mergeCell ref="B28:D28"/>
    <mergeCell ref="E28:E29"/>
    <mergeCell ref="A5:A6"/>
    <mergeCell ref="B5:H5"/>
    <mergeCell ref="I46:I47"/>
    <mergeCell ref="A59:A60"/>
    <mergeCell ref="B59:F59"/>
    <mergeCell ref="A70:A71"/>
    <mergeCell ref="B70:D70"/>
    <mergeCell ref="E70:E71"/>
    <mergeCell ref="B37:D37"/>
    <mergeCell ref="A79:A80"/>
    <mergeCell ref="B79:D79"/>
    <mergeCell ref="E79:E80"/>
    <mergeCell ref="G59:G60"/>
    <mergeCell ref="A46:A47"/>
    <mergeCell ref="B46:H46"/>
    <mergeCell ref="A37:A38"/>
    <mergeCell ref="E37:E38"/>
  </mergeCells>
  <hyperlinks>
    <hyperlink ref="J1" location="'Daftar Tabel'!A1" display="&lt;&lt;&lt; Daftar Tabel"/>
  </hyperlinks>
  <pageMargins left="0.7" right="0.7" top="0.75" bottom="0.75" header="0.3" footer="0.3"/>
  <pageSetup orientation="portrait" r:id="rId1"/>
  <drawing r:id="rId2"/>
  <legacy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8.7109375" defaultRowHeight="15" x14ac:dyDescent="0.25"/>
  <cols>
    <col min="1" max="1" width="5.7109375" style="21" customWidth="1"/>
    <col min="2" max="2" width="31.7109375" style="21" customWidth="1"/>
    <col min="3" max="8" width="10.7109375" style="21" customWidth="1"/>
    <col min="9" max="9" width="14.7109375" style="21" bestFit="1" customWidth="1"/>
    <col min="10" max="16384" width="8.7109375" style="21"/>
  </cols>
  <sheetData>
    <row r="1" spans="1:9" x14ac:dyDescent="0.25">
      <c r="A1" s="24" t="s">
        <v>198</v>
      </c>
      <c r="I1" s="127" t="s">
        <v>374</v>
      </c>
    </row>
    <row r="2" spans="1:9" x14ac:dyDescent="0.25">
      <c r="A2" s="24"/>
    </row>
    <row r="3" spans="1:9" ht="28.9" customHeight="1" x14ac:dyDescent="0.25">
      <c r="A3" s="157" t="s">
        <v>0</v>
      </c>
      <c r="B3" s="157" t="s">
        <v>150</v>
      </c>
      <c r="C3" s="157" t="s">
        <v>199</v>
      </c>
      <c r="D3" s="157"/>
      <c r="E3" s="157"/>
      <c r="F3" s="157" t="s">
        <v>200</v>
      </c>
      <c r="G3" s="157"/>
      <c r="H3" s="157"/>
    </row>
    <row r="4" spans="1:9" x14ac:dyDescent="0.25">
      <c r="A4" s="157"/>
      <c r="B4" s="157"/>
      <c r="C4" s="33" t="s">
        <v>62</v>
      </c>
      <c r="D4" s="33" t="s">
        <v>63</v>
      </c>
      <c r="E4" s="33" t="s">
        <v>64</v>
      </c>
      <c r="F4" s="83" t="s">
        <v>62</v>
      </c>
      <c r="G4" s="83" t="s">
        <v>63</v>
      </c>
      <c r="H4" s="83" t="s">
        <v>64</v>
      </c>
    </row>
    <row r="5" spans="1:9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  <c r="H5" s="35">
        <v>8</v>
      </c>
    </row>
    <row r="6" spans="1:9" x14ac:dyDescent="0.25">
      <c r="A6" s="103">
        <v>1</v>
      </c>
      <c r="B6" s="102" t="s">
        <v>271</v>
      </c>
      <c r="C6" s="30"/>
      <c r="D6" s="30"/>
      <c r="E6" s="30"/>
      <c r="F6" s="30"/>
      <c r="G6" s="30"/>
      <c r="H6" s="30"/>
    </row>
    <row r="7" spans="1:9" x14ac:dyDescent="0.25">
      <c r="A7" s="103">
        <v>2</v>
      </c>
      <c r="B7" s="102" t="s">
        <v>272</v>
      </c>
      <c r="C7" s="30">
        <v>15</v>
      </c>
      <c r="D7" s="30">
        <v>15</v>
      </c>
      <c r="E7" s="30">
        <v>15</v>
      </c>
      <c r="F7" s="30">
        <v>6</v>
      </c>
      <c r="G7" s="30">
        <v>9</v>
      </c>
      <c r="H7" s="30">
        <v>11</v>
      </c>
    </row>
    <row r="8" spans="1:9" x14ac:dyDescent="0.25">
      <c r="A8" s="103">
        <v>3</v>
      </c>
      <c r="B8" s="102" t="s">
        <v>14</v>
      </c>
      <c r="C8" s="30">
        <v>100</v>
      </c>
      <c r="D8" s="30">
        <v>105</v>
      </c>
      <c r="E8" s="30">
        <v>110</v>
      </c>
      <c r="F8" s="30">
        <v>30</v>
      </c>
      <c r="G8" s="30">
        <v>40</v>
      </c>
      <c r="H8" s="30">
        <v>60</v>
      </c>
    </row>
    <row r="9" spans="1:9" x14ac:dyDescent="0.25">
      <c r="A9" s="103">
        <v>4</v>
      </c>
      <c r="B9" s="23" t="s">
        <v>13</v>
      </c>
      <c r="C9" s="30">
        <v>540</v>
      </c>
      <c r="D9" s="30">
        <v>530</v>
      </c>
      <c r="E9" s="30">
        <v>560</v>
      </c>
      <c r="F9" s="30">
        <v>40</v>
      </c>
      <c r="G9" s="30">
        <v>50</v>
      </c>
      <c r="H9" s="30">
        <v>70</v>
      </c>
    </row>
    <row r="10" spans="1:9" x14ac:dyDescent="0.25">
      <c r="A10" s="103">
        <v>5</v>
      </c>
      <c r="B10" s="23" t="s">
        <v>15</v>
      </c>
      <c r="C10" s="30"/>
      <c r="D10" s="30"/>
      <c r="E10" s="30"/>
      <c r="F10" s="30"/>
      <c r="G10" s="30"/>
      <c r="H10" s="30"/>
    </row>
    <row r="11" spans="1:9" x14ac:dyDescent="0.25">
      <c r="A11" s="103">
        <v>6</v>
      </c>
      <c r="B11" s="23" t="s">
        <v>16</v>
      </c>
      <c r="C11" s="30"/>
      <c r="D11" s="30"/>
      <c r="E11" s="30"/>
      <c r="F11" s="30"/>
      <c r="G11" s="30"/>
      <c r="H11" s="30"/>
    </row>
    <row r="12" spans="1:9" x14ac:dyDescent="0.25">
      <c r="A12" s="103">
        <v>7</v>
      </c>
      <c r="B12" s="23" t="s">
        <v>17</v>
      </c>
      <c r="C12" s="30"/>
      <c r="D12" s="30"/>
      <c r="E12" s="30"/>
      <c r="F12" s="30"/>
      <c r="G12" s="30"/>
      <c r="H12" s="30"/>
    </row>
    <row r="13" spans="1:9" x14ac:dyDescent="0.25">
      <c r="A13" s="87"/>
      <c r="B13" s="88"/>
      <c r="C13" s="87"/>
      <c r="D13" s="87"/>
      <c r="E13" s="87"/>
      <c r="F13" s="87"/>
      <c r="G13" s="87"/>
      <c r="H13" s="87"/>
    </row>
  </sheetData>
  <mergeCells count="4">
    <mergeCell ref="A3:A4"/>
    <mergeCell ref="B3:B4"/>
    <mergeCell ref="C3:E3"/>
    <mergeCell ref="F3:H3"/>
  </mergeCells>
  <hyperlinks>
    <hyperlink ref="I1" location="'Daftar Tabel'!A1" display="&lt;&lt;&lt; Daftar Tabel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5.7109375" style="21" customWidth="1"/>
    <col min="2" max="2" width="32.5703125" style="21" customWidth="1"/>
    <col min="3" max="5" width="10.7109375" style="21" customWidth="1"/>
    <col min="6" max="6" width="14.7109375" style="21" bestFit="1" customWidth="1"/>
    <col min="7" max="16384" width="8.7109375" style="21"/>
  </cols>
  <sheetData>
    <row r="1" spans="1:6" x14ac:dyDescent="0.25">
      <c r="A1" s="24" t="s">
        <v>201</v>
      </c>
      <c r="F1" s="127" t="s">
        <v>374</v>
      </c>
    </row>
    <row r="2" spans="1:6" x14ac:dyDescent="0.25">
      <c r="A2" s="24"/>
    </row>
    <row r="3" spans="1:6" ht="28.9" customHeight="1" x14ac:dyDescent="0.25">
      <c r="A3" s="157" t="s">
        <v>0</v>
      </c>
      <c r="B3" s="157" t="s">
        <v>150</v>
      </c>
      <c r="C3" s="157" t="s">
        <v>202</v>
      </c>
      <c r="D3" s="157"/>
      <c r="E3" s="157"/>
    </row>
    <row r="4" spans="1:6" x14ac:dyDescent="0.25">
      <c r="A4" s="157"/>
      <c r="B4" s="157"/>
      <c r="C4" s="33" t="s">
        <v>62</v>
      </c>
      <c r="D4" s="33" t="s">
        <v>63</v>
      </c>
      <c r="E4" s="33" t="s">
        <v>64</v>
      </c>
    </row>
    <row r="5" spans="1:6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</row>
    <row r="6" spans="1:6" x14ac:dyDescent="0.25">
      <c r="A6" s="103">
        <v>1</v>
      </c>
      <c r="B6" s="102" t="s">
        <v>271</v>
      </c>
      <c r="C6" s="30"/>
      <c r="D6" s="30"/>
      <c r="E6" s="30"/>
    </row>
    <row r="7" spans="1:6" x14ac:dyDescent="0.25">
      <c r="A7" s="103">
        <v>2</v>
      </c>
      <c r="B7" s="102" t="s">
        <v>272</v>
      </c>
      <c r="C7" s="30">
        <v>0</v>
      </c>
      <c r="D7" s="30">
        <v>0</v>
      </c>
      <c r="E7" s="30">
        <v>0</v>
      </c>
    </row>
    <row r="8" spans="1:6" x14ac:dyDescent="0.25">
      <c r="A8" s="103">
        <v>3</v>
      </c>
      <c r="B8" s="102" t="s">
        <v>14</v>
      </c>
      <c r="C8" s="30">
        <v>2</v>
      </c>
      <c r="D8" s="30">
        <v>1</v>
      </c>
      <c r="E8" s="30">
        <v>2</v>
      </c>
    </row>
    <row r="9" spans="1:6" x14ac:dyDescent="0.25">
      <c r="A9" s="103">
        <v>4</v>
      </c>
      <c r="B9" s="23" t="s">
        <v>13</v>
      </c>
      <c r="C9" s="30">
        <v>11</v>
      </c>
      <c r="D9" s="30">
        <v>8</v>
      </c>
      <c r="E9" s="30">
        <v>6</v>
      </c>
    </row>
    <row r="10" spans="1:6" x14ac:dyDescent="0.25">
      <c r="A10" s="103">
        <v>5</v>
      </c>
      <c r="B10" s="23" t="s">
        <v>155</v>
      </c>
      <c r="C10" s="31"/>
      <c r="D10" s="31"/>
      <c r="E10" s="31"/>
    </row>
    <row r="11" spans="1:6" x14ac:dyDescent="0.25">
      <c r="A11" s="103">
        <v>6</v>
      </c>
      <c r="B11" s="23" t="s">
        <v>203</v>
      </c>
      <c r="C11" s="31"/>
      <c r="D11" s="31"/>
      <c r="E11" s="31"/>
    </row>
    <row r="12" spans="1:6" x14ac:dyDescent="0.25">
      <c r="A12" s="103">
        <v>7</v>
      </c>
      <c r="B12" s="23" t="s">
        <v>17</v>
      </c>
      <c r="C12" s="31"/>
      <c r="D12" s="31"/>
      <c r="E12" s="31"/>
    </row>
    <row r="13" spans="1:6" s="69" customFormat="1" x14ac:dyDescent="0.25">
      <c r="A13" s="87"/>
      <c r="B13" s="88"/>
      <c r="C13" s="88"/>
      <c r="D13" s="88"/>
      <c r="E13" s="88"/>
    </row>
    <row r="14" spans="1:6" x14ac:dyDescent="0.25">
      <c r="A14" s="24"/>
    </row>
    <row r="15" spans="1:6" x14ac:dyDescent="0.25">
      <c r="A15" s="24"/>
    </row>
    <row r="16" spans="1:6" x14ac:dyDescent="0.25">
      <c r="A16" s="65"/>
    </row>
    <row r="17" spans="1:1" x14ac:dyDescent="0.25">
      <c r="A17" s="65"/>
    </row>
    <row r="18" spans="1:1" x14ac:dyDescent="0.25">
      <c r="A18" s="65"/>
    </row>
  </sheetData>
  <mergeCells count="3">
    <mergeCell ref="A3:A4"/>
    <mergeCell ref="B3:B4"/>
    <mergeCell ref="C3:E3"/>
  </mergeCells>
  <hyperlinks>
    <hyperlink ref="F1" location="'Daftar Tabel'!A1" display="&lt;&lt;&lt; Daftar Tabel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5.7109375" style="21" customWidth="1"/>
    <col min="2" max="2" width="32.42578125" style="21" customWidth="1"/>
    <col min="3" max="5" width="10.7109375" style="21" customWidth="1"/>
    <col min="6" max="6" width="14.7109375" style="21" bestFit="1" customWidth="1"/>
    <col min="7" max="16384" width="8.7109375" style="21"/>
  </cols>
  <sheetData>
    <row r="1" spans="1:6" x14ac:dyDescent="0.25">
      <c r="A1" s="24" t="s">
        <v>204</v>
      </c>
      <c r="F1" s="127" t="s">
        <v>374</v>
      </c>
    </row>
    <row r="2" spans="1:6" x14ac:dyDescent="0.25">
      <c r="A2" s="24"/>
    </row>
    <row r="3" spans="1:6" ht="28.9" customHeight="1" x14ac:dyDescent="0.25">
      <c r="A3" s="157" t="s">
        <v>0</v>
      </c>
      <c r="B3" s="157" t="s">
        <v>150</v>
      </c>
      <c r="C3" s="157" t="s">
        <v>205</v>
      </c>
      <c r="D3" s="157"/>
      <c r="E3" s="157"/>
    </row>
    <row r="4" spans="1:6" x14ac:dyDescent="0.25">
      <c r="A4" s="157"/>
      <c r="B4" s="157"/>
      <c r="C4" s="33" t="s">
        <v>62</v>
      </c>
      <c r="D4" s="33" t="s">
        <v>63</v>
      </c>
      <c r="E4" s="33" t="s">
        <v>64</v>
      </c>
    </row>
    <row r="5" spans="1:6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</row>
    <row r="6" spans="1:6" x14ac:dyDescent="0.25">
      <c r="A6" s="103">
        <v>1</v>
      </c>
      <c r="B6" s="102" t="s">
        <v>271</v>
      </c>
      <c r="C6" s="30"/>
      <c r="D6" s="30"/>
      <c r="E6" s="30"/>
    </row>
    <row r="7" spans="1:6" x14ac:dyDescent="0.25">
      <c r="A7" s="103">
        <v>2</v>
      </c>
      <c r="B7" s="102" t="s">
        <v>272</v>
      </c>
      <c r="C7" s="89">
        <v>0.92200000000000004</v>
      </c>
      <c r="D7" s="89">
        <v>0.96</v>
      </c>
      <c r="E7" s="89">
        <v>0.95599999999999996</v>
      </c>
    </row>
    <row r="8" spans="1:6" x14ac:dyDescent="0.25">
      <c r="A8" s="103">
        <v>3</v>
      </c>
      <c r="B8" s="102" t="s">
        <v>14</v>
      </c>
      <c r="C8" s="89">
        <v>1</v>
      </c>
      <c r="D8" s="89">
        <v>1</v>
      </c>
      <c r="E8" s="89">
        <v>0.97399999999999998</v>
      </c>
    </row>
    <row r="9" spans="1:6" x14ac:dyDescent="0.25">
      <c r="A9" s="103">
        <v>4</v>
      </c>
      <c r="B9" s="23" t="s">
        <v>13</v>
      </c>
      <c r="C9" s="89">
        <v>0.56000000000000005</v>
      </c>
      <c r="D9" s="89">
        <v>0.625</v>
      </c>
      <c r="E9" s="89">
        <v>0.72899999999999998</v>
      </c>
    </row>
    <row r="10" spans="1:6" x14ac:dyDescent="0.25">
      <c r="A10" s="103">
        <v>5</v>
      </c>
      <c r="B10" s="23" t="s">
        <v>155</v>
      </c>
      <c r="C10" s="89"/>
      <c r="D10" s="89"/>
      <c r="E10" s="89"/>
    </row>
    <row r="11" spans="1:6" x14ac:dyDescent="0.25">
      <c r="A11" s="103">
        <v>6</v>
      </c>
      <c r="B11" s="23" t="s">
        <v>203</v>
      </c>
      <c r="C11" s="89"/>
      <c r="D11" s="89"/>
      <c r="E11" s="89"/>
    </row>
    <row r="12" spans="1:6" x14ac:dyDescent="0.25">
      <c r="A12" s="103">
        <v>7</v>
      </c>
      <c r="B12" s="23" t="s">
        <v>17</v>
      </c>
      <c r="C12" s="89"/>
      <c r="D12" s="89"/>
      <c r="E12" s="89"/>
    </row>
    <row r="13" spans="1:6" s="69" customFormat="1" x14ac:dyDescent="0.25">
      <c r="A13" s="87"/>
      <c r="B13" s="88"/>
      <c r="C13" s="87"/>
      <c r="D13" s="87"/>
      <c r="E13" s="87"/>
    </row>
  </sheetData>
  <mergeCells count="3">
    <mergeCell ref="A3:A4"/>
    <mergeCell ref="B3:B4"/>
    <mergeCell ref="C3:E3"/>
  </mergeCells>
  <hyperlinks>
    <hyperlink ref="F1" location="'Daftar Tabel'!A1" display="&lt;&lt;&lt; Daftar Tabel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5.7109375" style="6" customWidth="1"/>
    <col min="2" max="2" width="32.7109375" style="6" customWidth="1"/>
    <col min="3" max="8" width="10.7109375" style="6" customWidth="1"/>
    <col min="9" max="9" width="14.7109375" style="6" bestFit="1" customWidth="1"/>
    <col min="10" max="16384" width="8.7109375" style="6"/>
  </cols>
  <sheetData>
    <row r="1" spans="1:9" x14ac:dyDescent="0.25">
      <c r="A1" s="24" t="s">
        <v>206</v>
      </c>
      <c r="B1" s="21"/>
      <c r="C1" s="21"/>
      <c r="D1" s="21"/>
      <c r="E1" s="21"/>
      <c r="F1" s="21"/>
      <c r="G1" s="21"/>
      <c r="H1" s="21"/>
      <c r="I1" s="127" t="s">
        <v>374</v>
      </c>
    </row>
    <row r="2" spans="1:9" x14ac:dyDescent="0.25">
      <c r="A2" s="24"/>
      <c r="B2" s="21"/>
      <c r="C2" s="21"/>
      <c r="D2" s="21"/>
      <c r="E2" s="21"/>
      <c r="F2" s="21"/>
      <c r="G2" s="21"/>
      <c r="H2" s="21"/>
    </row>
    <row r="3" spans="1:9" ht="28.9" customHeight="1" x14ac:dyDescent="0.25">
      <c r="A3" s="157" t="s">
        <v>0</v>
      </c>
      <c r="B3" s="157" t="s">
        <v>150</v>
      </c>
      <c r="C3" s="157" t="s">
        <v>199</v>
      </c>
      <c r="D3" s="157"/>
      <c r="E3" s="157"/>
      <c r="F3" s="157" t="s">
        <v>207</v>
      </c>
      <c r="G3" s="157"/>
      <c r="H3" s="157"/>
    </row>
    <row r="4" spans="1:9" x14ac:dyDescent="0.25">
      <c r="A4" s="157"/>
      <c r="B4" s="157"/>
      <c r="C4" s="33" t="s">
        <v>63</v>
      </c>
      <c r="D4" s="33" t="s">
        <v>64</v>
      </c>
      <c r="E4" s="33" t="s">
        <v>65</v>
      </c>
      <c r="F4" s="33" t="s">
        <v>63</v>
      </c>
      <c r="G4" s="33" t="s">
        <v>64</v>
      </c>
      <c r="H4" s="33" t="s">
        <v>65</v>
      </c>
    </row>
    <row r="5" spans="1:9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  <c r="G5" s="35">
        <v>7</v>
      </c>
      <c r="H5" s="35">
        <v>8</v>
      </c>
    </row>
    <row r="6" spans="1:9" x14ac:dyDescent="0.25">
      <c r="A6" s="103">
        <v>1</v>
      </c>
      <c r="B6" s="102" t="s">
        <v>271</v>
      </c>
      <c r="C6" s="30"/>
      <c r="D6" s="30"/>
      <c r="E6" s="30"/>
      <c r="F6" s="30"/>
      <c r="G6" s="30"/>
      <c r="H6" s="30"/>
    </row>
    <row r="7" spans="1:9" x14ac:dyDescent="0.25">
      <c r="A7" s="103">
        <v>2</v>
      </c>
      <c r="B7" s="102" t="s">
        <v>272</v>
      </c>
      <c r="C7" s="30">
        <v>15</v>
      </c>
      <c r="D7" s="30">
        <v>15</v>
      </c>
      <c r="E7" s="30">
        <v>15</v>
      </c>
      <c r="F7" s="30">
        <v>6</v>
      </c>
      <c r="G7" s="30">
        <v>7</v>
      </c>
      <c r="H7" s="30">
        <v>7</v>
      </c>
    </row>
    <row r="8" spans="1:9" x14ac:dyDescent="0.25">
      <c r="A8" s="103">
        <v>3</v>
      </c>
      <c r="B8" s="102" t="s">
        <v>14</v>
      </c>
      <c r="C8" s="30">
        <v>100</v>
      </c>
      <c r="D8" s="30">
        <v>105</v>
      </c>
      <c r="E8" s="30">
        <v>110</v>
      </c>
      <c r="F8" s="30">
        <v>27</v>
      </c>
      <c r="G8" s="30">
        <v>30</v>
      </c>
      <c r="H8" s="30">
        <v>56</v>
      </c>
    </row>
    <row r="9" spans="1:9" x14ac:dyDescent="0.25">
      <c r="A9" s="103">
        <v>4</v>
      </c>
      <c r="B9" s="23" t="s">
        <v>13</v>
      </c>
      <c r="C9" s="30">
        <v>540</v>
      </c>
      <c r="D9" s="30">
        <v>530</v>
      </c>
      <c r="E9" s="30">
        <v>560</v>
      </c>
      <c r="F9" s="30">
        <v>37</v>
      </c>
      <c r="G9" s="30">
        <v>41</v>
      </c>
      <c r="H9" s="30">
        <v>67</v>
      </c>
    </row>
    <row r="10" spans="1:9" x14ac:dyDescent="0.25">
      <c r="A10" s="103">
        <v>5</v>
      </c>
      <c r="B10" s="23" t="s">
        <v>155</v>
      </c>
      <c r="C10" s="31"/>
      <c r="D10" s="31"/>
      <c r="E10" s="31"/>
      <c r="F10" s="31"/>
      <c r="G10" s="31"/>
      <c r="H10" s="31"/>
    </row>
    <row r="11" spans="1:9" x14ac:dyDescent="0.25">
      <c r="A11" s="103">
        <v>6</v>
      </c>
      <c r="B11" s="23" t="s">
        <v>203</v>
      </c>
      <c r="C11" s="31"/>
      <c r="D11" s="31"/>
      <c r="E11" s="31"/>
      <c r="F11" s="31"/>
      <c r="G11" s="31"/>
      <c r="H11" s="31"/>
    </row>
    <row r="12" spans="1:9" x14ac:dyDescent="0.25">
      <c r="A12" s="103">
        <v>7</v>
      </c>
      <c r="B12" s="23" t="s">
        <v>17</v>
      </c>
      <c r="C12" s="31"/>
      <c r="D12" s="31"/>
      <c r="E12" s="31"/>
      <c r="F12" s="31"/>
      <c r="G12" s="31"/>
      <c r="H12" s="31"/>
    </row>
    <row r="13" spans="1:9" x14ac:dyDescent="0.25">
      <c r="A13" s="87"/>
      <c r="B13" s="88"/>
      <c r="C13" s="88"/>
      <c r="D13" s="88"/>
      <c r="E13" s="88"/>
      <c r="F13" s="88"/>
      <c r="G13" s="88"/>
      <c r="H13" s="88"/>
    </row>
    <row r="14" spans="1:9" x14ac:dyDescent="0.25">
      <c r="A14" s="99"/>
      <c r="B14" s="21"/>
      <c r="C14" s="21"/>
      <c r="D14" s="21"/>
      <c r="E14" s="21"/>
      <c r="F14" s="21"/>
      <c r="G14" s="21"/>
      <c r="H14" s="21"/>
    </row>
    <row r="15" spans="1:9" x14ac:dyDescent="0.25">
      <c r="A15" s="24"/>
      <c r="B15" s="21"/>
      <c r="C15" s="21"/>
      <c r="D15" s="21"/>
      <c r="E15" s="21"/>
      <c r="F15" s="21"/>
      <c r="G15" s="21"/>
      <c r="H15" s="21"/>
    </row>
    <row r="16" spans="1:9" x14ac:dyDescent="0.25">
      <c r="A16" s="65"/>
      <c r="B16" s="21"/>
      <c r="C16" s="21"/>
      <c r="D16" s="21"/>
      <c r="E16" s="21"/>
      <c r="F16" s="21"/>
      <c r="G16" s="21"/>
      <c r="H16" s="21"/>
    </row>
    <row r="17" spans="1:8" x14ac:dyDescent="0.25">
      <c r="A17" s="65"/>
      <c r="B17" s="21"/>
      <c r="C17" s="21"/>
      <c r="D17" s="21"/>
      <c r="E17" s="21"/>
      <c r="F17" s="21"/>
      <c r="G17" s="21"/>
      <c r="H17" s="21"/>
    </row>
    <row r="18" spans="1:8" x14ac:dyDescent="0.25">
      <c r="A18" s="65"/>
      <c r="B18" s="21"/>
      <c r="C18" s="21"/>
      <c r="D18" s="21"/>
      <c r="E18" s="21"/>
      <c r="F18" s="21"/>
      <c r="G18" s="21"/>
      <c r="H18" s="21"/>
    </row>
    <row r="19" spans="1:8" x14ac:dyDescent="0.25">
      <c r="A19" s="65"/>
      <c r="B19" s="21"/>
      <c r="C19" s="21"/>
      <c r="D19" s="21"/>
      <c r="E19" s="21"/>
      <c r="F19" s="21"/>
      <c r="G19" s="21"/>
      <c r="H19" s="21"/>
    </row>
    <row r="20" spans="1:8" x14ac:dyDescent="0.25">
      <c r="A20" s="65"/>
      <c r="B20" s="21"/>
      <c r="C20" s="21"/>
      <c r="D20" s="21"/>
      <c r="E20" s="21"/>
      <c r="F20" s="21"/>
      <c r="G20" s="21"/>
      <c r="H20" s="21"/>
    </row>
    <row r="21" spans="1:8" x14ac:dyDescent="0.25">
      <c r="A21" s="65"/>
      <c r="B21" s="21"/>
      <c r="C21" s="21"/>
      <c r="D21" s="21"/>
      <c r="E21" s="21"/>
      <c r="F21" s="21"/>
      <c r="G21" s="21"/>
      <c r="H21" s="21"/>
    </row>
  </sheetData>
  <mergeCells count="4">
    <mergeCell ref="A3:A4"/>
    <mergeCell ref="B3:B4"/>
    <mergeCell ref="C3:E3"/>
    <mergeCell ref="F3:H3"/>
  </mergeCells>
  <hyperlinks>
    <hyperlink ref="I1" location="'Daftar Tabel'!A1" display="&lt;&lt;&lt; Daftar Tabel"/>
  </hyperlinks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5.7109375" style="6" customWidth="1"/>
    <col min="2" max="2" width="28.7109375" style="6" customWidth="1"/>
    <col min="3" max="6" width="12.7109375" style="6" customWidth="1"/>
    <col min="7" max="7" width="14.7109375" style="6" bestFit="1" customWidth="1"/>
    <col min="8" max="16384" width="8.7109375" style="6"/>
  </cols>
  <sheetData>
    <row r="1" spans="1:7" x14ac:dyDescent="0.25">
      <c r="A1" s="24" t="s">
        <v>208</v>
      </c>
      <c r="B1" s="21"/>
      <c r="C1" s="21"/>
      <c r="D1" s="21"/>
      <c r="E1" s="21"/>
      <c r="F1" s="21"/>
      <c r="G1" s="127" t="s">
        <v>374</v>
      </c>
    </row>
    <row r="2" spans="1:7" x14ac:dyDescent="0.25">
      <c r="A2" s="24"/>
      <c r="B2" s="21"/>
      <c r="C2" s="21"/>
      <c r="D2" s="21"/>
      <c r="E2" s="21"/>
      <c r="F2" s="21"/>
    </row>
    <row r="3" spans="1:7" x14ac:dyDescent="0.25">
      <c r="A3" s="157" t="s">
        <v>209</v>
      </c>
      <c r="B3" s="157" t="s">
        <v>210</v>
      </c>
      <c r="C3" s="157" t="s">
        <v>211</v>
      </c>
      <c r="D3" s="157"/>
      <c r="E3" s="157"/>
      <c r="F3" s="157"/>
    </row>
    <row r="4" spans="1:7" x14ac:dyDescent="0.25">
      <c r="A4" s="157"/>
      <c r="B4" s="157"/>
      <c r="C4" s="33" t="s">
        <v>212</v>
      </c>
      <c r="D4" s="33" t="s">
        <v>213</v>
      </c>
      <c r="E4" s="33" t="s">
        <v>214</v>
      </c>
      <c r="F4" s="33" t="s">
        <v>215</v>
      </c>
    </row>
    <row r="5" spans="1:7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</row>
    <row r="6" spans="1:7" x14ac:dyDescent="0.25">
      <c r="A6" s="37">
        <v>1</v>
      </c>
      <c r="B6" s="23" t="s">
        <v>18</v>
      </c>
      <c r="C6" s="66">
        <v>0.8</v>
      </c>
      <c r="D6" s="66">
        <v>0.2</v>
      </c>
      <c r="E6" s="66"/>
      <c r="F6" s="66"/>
    </row>
    <row r="7" spans="1:7" ht="25.5" x14ac:dyDescent="0.25">
      <c r="A7" s="37">
        <v>2</v>
      </c>
      <c r="B7" s="23" t="s">
        <v>216</v>
      </c>
      <c r="C7" s="66">
        <v>0.6</v>
      </c>
      <c r="D7" s="66">
        <v>0.3</v>
      </c>
      <c r="E7" s="66">
        <v>0.1</v>
      </c>
      <c r="F7" s="66"/>
    </row>
    <row r="8" spans="1:7" x14ac:dyDescent="0.25">
      <c r="A8" s="37">
        <v>3</v>
      </c>
      <c r="B8" s="23" t="s">
        <v>217</v>
      </c>
      <c r="C8" s="66">
        <v>0.1</v>
      </c>
      <c r="D8" s="66">
        <v>0.6</v>
      </c>
      <c r="E8" s="66">
        <v>0.2</v>
      </c>
      <c r="F8" s="66">
        <v>0.1</v>
      </c>
    </row>
    <row r="9" spans="1:7" x14ac:dyDescent="0.25">
      <c r="A9" s="37">
        <v>4</v>
      </c>
      <c r="B9" s="23" t="s">
        <v>218</v>
      </c>
      <c r="C9" s="66">
        <v>0.2</v>
      </c>
      <c r="D9" s="66">
        <v>0.7</v>
      </c>
      <c r="E9" s="66">
        <v>0.05</v>
      </c>
      <c r="F9" s="66">
        <v>0.05</v>
      </c>
    </row>
    <row r="10" spans="1:7" x14ac:dyDescent="0.25">
      <c r="A10" s="37">
        <v>5</v>
      </c>
      <c r="B10" s="23" t="s">
        <v>219</v>
      </c>
      <c r="C10" s="66">
        <v>0.2</v>
      </c>
      <c r="D10" s="66">
        <v>0.7</v>
      </c>
      <c r="E10" s="66">
        <v>0.1</v>
      </c>
      <c r="F10" s="66"/>
    </row>
    <row r="11" spans="1:7" x14ac:dyDescent="0.25">
      <c r="A11" s="37">
        <v>6</v>
      </c>
      <c r="B11" s="23" t="s">
        <v>19</v>
      </c>
      <c r="C11" s="66">
        <v>0.4</v>
      </c>
      <c r="D11" s="66">
        <v>0.5</v>
      </c>
      <c r="E11" s="66">
        <v>0.1</v>
      </c>
      <c r="F11" s="66"/>
    </row>
    <row r="12" spans="1:7" x14ac:dyDescent="0.25">
      <c r="A12" s="37">
        <v>7</v>
      </c>
      <c r="B12" s="23" t="s">
        <v>220</v>
      </c>
      <c r="C12" s="66">
        <v>0.2</v>
      </c>
      <c r="D12" s="66">
        <v>0.6</v>
      </c>
      <c r="E12" s="66">
        <v>0.1</v>
      </c>
      <c r="F12" s="66">
        <v>0.1</v>
      </c>
    </row>
  </sheetData>
  <mergeCells count="3">
    <mergeCell ref="A3:A4"/>
    <mergeCell ref="B3:B4"/>
    <mergeCell ref="C3:F3"/>
  </mergeCells>
  <hyperlinks>
    <hyperlink ref="G1" location="'Daftar Tabel'!A1" display="&lt;&lt;&lt; Daftar Tabel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5.7109375" style="21" customWidth="1"/>
    <col min="2" max="2" width="32.140625" style="21" customWidth="1"/>
    <col min="3" max="6" width="12.7109375" style="21" customWidth="1"/>
    <col min="7" max="7" width="14.7109375" style="21" bestFit="1" customWidth="1"/>
    <col min="8" max="16384" width="8.7109375" style="21"/>
  </cols>
  <sheetData>
    <row r="1" spans="1:7" x14ac:dyDescent="0.25">
      <c r="A1" s="24" t="s">
        <v>221</v>
      </c>
      <c r="G1" s="127" t="s">
        <v>374</v>
      </c>
    </row>
    <row r="2" spans="1:7" x14ac:dyDescent="0.25">
      <c r="A2" s="24"/>
    </row>
    <row r="3" spans="1:7" x14ac:dyDescent="0.25">
      <c r="A3" s="157" t="s">
        <v>0</v>
      </c>
      <c r="B3" s="157" t="s">
        <v>150</v>
      </c>
      <c r="C3" s="157" t="s">
        <v>222</v>
      </c>
      <c r="D3" s="157" t="s">
        <v>223</v>
      </c>
      <c r="E3" s="157"/>
      <c r="F3" s="157"/>
    </row>
    <row r="4" spans="1:7" ht="63.75" x14ac:dyDescent="0.25">
      <c r="A4" s="157"/>
      <c r="B4" s="157"/>
      <c r="C4" s="157"/>
      <c r="D4" s="33" t="s">
        <v>225</v>
      </c>
      <c r="E4" s="33" t="s">
        <v>224</v>
      </c>
      <c r="F4" s="33" t="s">
        <v>226</v>
      </c>
    </row>
    <row r="5" spans="1:7" x14ac:dyDescent="0.25">
      <c r="A5" s="35">
        <v>1</v>
      </c>
      <c r="B5" s="35">
        <v>2</v>
      </c>
      <c r="C5" s="35">
        <v>3</v>
      </c>
      <c r="D5" s="35">
        <v>4</v>
      </c>
      <c r="E5" s="35">
        <v>5</v>
      </c>
      <c r="F5" s="35">
        <v>6</v>
      </c>
    </row>
    <row r="6" spans="1:7" x14ac:dyDescent="0.25">
      <c r="A6" s="103">
        <v>1</v>
      </c>
      <c r="B6" s="102" t="s">
        <v>271</v>
      </c>
      <c r="C6" s="30"/>
      <c r="D6" s="30"/>
      <c r="E6" s="30"/>
      <c r="F6" s="30"/>
    </row>
    <row r="7" spans="1:7" x14ac:dyDescent="0.25">
      <c r="A7" s="103">
        <v>2</v>
      </c>
      <c r="B7" s="102" t="s">
        <v>272</v>
      </c>
      <c r="C7" s="30">
        <v>45</v>
      </c>
      <c r="D7" s="30"/>
      <c r="E7" s="30">
        <v>23</v>
      </c>
      <c r="F7" s="30">
        <v>22</v>
      </c>
    </row>
    <row r="8" spans="1:7" x14ac:dyDescent="0.25">
      <c r="A8" s="103">
        <v>3</v>
      </c>
      <c r="B8" s="102" t="s">
        <v>14</v>
      </c>
      <c r="C8" s="30">
        <v>315</v>
      </c>
      <c r="D8" s="30">
        <v>125</v>
      </c>
      <c r="E8" s="30">
        <v>165</v>
      </c>
      <c r="F8" s="30">
        <v>25</v>
      </c>
    </row>
    <row r="9" spans="1:7" x14ac:dyDescent="0.25">
      <c r="A9" s="103">
        <v>4</v>
      </c>
      <c r="B9" s="23" t="s">
        <v>13</v>
      </c>
      <c r="C9" s="30">
        <v>1486</v>
      </c>
      <c r="D9" s="30">
        <v>673</v>
      </c>
      <c r="E9" s="30">
        <v>775</v>
      </c>
      <c r="F9" s="30">
        <v>38</v>
      </c>
    </row>
    <row r="10" spans="1:7" x14ac:dyDescent="0.25">
      <c r="A10" s="103">
        <v>5</v>
      </c>
      <c r="B10" s="23" t="s">
        <v>155</v>
      </c>
      <c r="C10" s="30"/>
      <c r="D10" s="30"/>
      <c r="E10" s="30"/>
      <c r="F10" s="30"/>
    </row>
    <row r="11" spans="1:7" x14ac:dyDescent="0.25">
      <c r="A11" s="103">
        <v>6</v>
      </c>
      <c r="B11" s="23" t="s">
        <v>203</v>
      </c>
      <c r="C11" s="30"/>
      <c r="D11" s="30"/>
      <c r="E11" s="30"/>
      <c r="F11" s="30"/>
    </row>
    <row r="12" spans="1:7" x14ac:dyDescent="0.25">
      <c r="A12" s="103">
        <v>7</v>
      </c>
      <c r="B12" s="23" t="s">
        <v>17</v>
      </c>
      <c r="C12" s="30"/>
      <c r="D12" s="30"/>
      <c r="E12" s="30"/>
      <c r="F12" s="30"/>
    </row>
    <row r="13" spans="1:7" x14ac:dyDescent="0.25">
      <c r="A13" s="100"/>
      <c r="B13" s="101"/>
      <c r="C13" s="87"/>
      <c r="D13" s="87"/>
      <c r="E13" s="87"/>
      <c r="F13" s="87"/>
    </row>
    <row r="14" spans="1:7" x14ac:dyDescent="0.25">
      <c r="A14" s="45"/>
    </row>
    <row r="15" spans="1:7" x14ac:dyDescent="0.25">
      <c r="A15" s="45"/>
    </row>
    <row r="16" spans="1:7" x14ac:dyDescent="0.25">
      <c r="A16" s="58"/>
    </row>
    <row r="17" spans="1:1" x14ac:dyDescent="0.25">
      <c r="A17" s="58"/>
    </row>
    <row r="18" spans="1:1" x14ac:dyDescent="0.25">
      <c r="A18" s="58"/>
    </row>
    <row r="19" spans="1:1" x14ac:dyDescent="0.25">
      <c r="A19" s="58"/>
    </row>
  </sheetData>
  <mergeCells count="4">
    <mergeCell ref="A3:A4"/>
    <mergeCell ref="B3:B4"/>
    <mergeCell ref="C3:C4"/>
    <mergeCell ref="D3:F3"/>
  </mergeCells>
  <hyperlinks>
    <hyperlink ref="G1" location="'Daftar Tabel'!A1" display="&lt;&lt;&lt; Daftar Tabel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6" sqref="C6"/>
    </sheetView>
  </sheetViews>
  <sheetFormatPr defaultColWidth="8.7109375" defaultRowHeight="15" x14ac:dyDescent="0.25"/>
  <cols>
    <col min="1" max="1" width="5.7109375" style="6" customWidth="1"/>
    <col min="2" max="2" width="36.7109375" style="6" customWidth="1"/>
    <col min="3" max="6" width="10.7109375" style="6" customWidth="1"/>
    <col min="7" max="7" width="14.7109375" style="6" bestFit="1" customWidth="1"/>
    <col min="8" max="16384" width="8.7109375" style="6"/>
  </cols>
  <sheetData>
    <row r="1" spans="1:7" x14ac:dyDescent="0.25">
      <c r="A1" s="24" t="s">
        <v>259</v>
      </c>
      <c r="B1" s="21"/>
      <c r="C1" s="21"/>
      <c r="D1" s="21"/>
      <c r="E1" s="21"/>
      <c r="F1" s="21"/>
      <c r="G1" s="127" t="s">
        <v>374</v>
      </c>
    </row>
    <row r="2" spans="1:7" x14ac:dyDescent="0.25">
      <c r="A2" s="24"/>
      <c r="B2" s="21"/>
      <c r="C2" s="21"/>
      <c r="D2" s="21"/>
      <c r="E2" s="21"/>
      <c r="F2" s="21"/>
    </row>
    <row r="3" spans="1:7" x14ac:dyDescent="0.25">
      <c r="A3" s="159" t="s">
        <v>0</v>
      </c>
      <c r="B3" s="159" t="s">
        <v>227</v>
      </c>
      <c r="C3" s="159" t="s">
        <v>228</v>
      </c>
      <c r="D3" s="159"/>
      <c r="E3" s="159"/>
      <c r="F3" s="159" t="s">
        <v>31</v>
      </c>
    </row>
    <row r="4" spans="1:7" x14ac:dyDescent="0.25">
      <c r="A4" s="159"/>
      <c r="B4" s="159"/>
      <c r="C4" s="29" t="s">
        <v>64</v>
      </c>
      <c r="D4" s="29" t="s">
        <v>65</v>
      </c>
      <c r="E4" s="29" t="s">
        <v>66</v>
      </c>
      <c r="F4" s="159"/>
    </row>
    <row r="5" spans="1:7" x14ac:dyDescent="0.25">
      <c r="A5" s="22">
        <v>1</v>
      </c>
      <c r="B5" s="22">
        <v>2</v>
      </c>
      <c r="C5" s="22">
        <v>3</v>
      </c>
      <c r="D5" s="22">
        <v>4</v>
      </c>
      <c r="E5" s="22">
        <v>5</v>
      </c>
      <c r="F5" s="22">
        <v>6</v>
      </c>
    </row>
    <row r="6" spans="1:7" x14ac:dyDescent="0.25">
      <c r="A6" s="37">
        <v>1</v>
      </c>
      <c r="B6" s="23" t="s">
        <v>229</v>
      </c>
      <c r="C6" s="30">
        <v>73</v>
      </c>
      <c r="D6" s="30">
        <v>69</v>
      </c>
      <c r="E6" s="30">
        <v>112</v>
      </c>
      <c r="F6" s="37">
        <f>SUM(C6:E6)</f>
        <v>254</v>
      </c>
    </row>
    <row r="7" spans="1:7" x14ac:dyDescent="0.25">
      <c r="A7" s="37">
        <v>2</v>
      </c>
      <c r="B7" s="23" t="s">
        <v>230</v>
      </c>
      <c r="C7" s="30">
        <v>69</v>
      </c>
      <c r="D7" s="30">
        <v>123</v>
      </c>
      <c r="E7" s="30">
        <v>185</v>
      </c>
      <c r="F7" s="37">
        <f t="shared" ref="F7:F15" si="0">SUM(C7:E7)</f>
        <v>377</v>
      </c>
    </row>
    <row r="8" spans="1:7" x14ac:dyDescent="0.25">
      <c r="A8" s="85">
        <v>3</v>
      </c>
      <c r="B8" s="84" t="s">
        <v>264</v>
      </c>
      <c r="C8" s="30">
        <v>10</v>
      </c>
      <c r="D8" s="30">
        <v>19</v>
      </c>
      <c r="E8" s="30">
        <v>22</v>
      </c>
      <c r="F8" s="85">
        <f t="shared" ref="F8" si="1">SUM(C8:E8)</f>
        <v>51</v>
      </c>
    </row>
    <row r="9" spans="1:7" x14ac:dyDescent="0.25">
      <c r="A9" s="85">
        <v>4</v>
      </c>
      <c r="B9" s="97" t="s">
        <v>231</v>
      </c>
      <c r="C9" s="30">
        <v>1</v>
      </c>
      <c r="D9" s="30">
        <v>5</v>
      </c>
      <c r="E9" s="30">
        <v>3</v>
      </c>
      <c r="F9" s="37">
        <f t="shared" si="0"/>
        <v>9</v>
      </c>
    </row>
    <row r="10" spans="1:7" x14ac:dyDescent="0.25">
      <c r="A10" s="95">
        <v>5</v>
      </c>
      <c r="B10" s="84" t="s">
        <v>232</v>
      </c>
      <c r="C10" s="96">
        <v>20</v>
      </c>
      <c r="D10" s="30">
        <v>22</v>
      </c>
      <c r="E10" s="30">
        <v>29</v>
      </c>
      <c r="F10" s="37">
        <f t="shared" si="0"/>
        <v>71</v>
      </c>
    </row>
    <row r="11" spans="1:7" x14ac:dyDescent="0.25">
      <c r="A11" s="95">
        <v>6</v>
      </c>
      <c r="B11" s="84" t="s">
        <v>260</v>
      </c>
      <c r="C11" s="96">
        <v>17</v>
      </c>
      <c r="D11" s="30">
        <v>12</v>
      </c>
      <c r="E11" s="30">
        <v>28</v>
      </c>
      <c r="F11" s="85">
        <f t="shared" ref="F11:F12" si="2">SUM(C11:E11)</f>
        <v>57</v>
      </c>
    </row>
    <row r="12" spans="1:7" x14ac:dyDescent="0.25">
      <c r="A12" s="95">
        <v>7</v>
      </c>
      <c r="B12" s="84" t="s">
        <v>261</v>
      </c>
      <c r="C12" s="96">
        <v>1</v>
      </c>
      <c r="D12" s="30">
        <v>2</v>
      </c>
      <c r="E12" s="30">
        <v>2</v>
      </c>
      <c r="F12" s="85">
        <f t="shared" si="2"/>
        <v>5</v>
      </c>
    </row>
    <row r="13" spans="1:7" x14ac:dyDescent="0.25">
      <c r="A13" s="95">
        <v>8</v>
      </c>
      <c r="B13" s="84" t="s">
        <v>262</v>
      </c>
      <c r="C13" s="96">
        <v>5</v>
      </c>
      <c r="D13" s="30">
        <v>3</v>
      </c>
      <c r="E13" s="30">
        <v>8</v>
      </c>
      <c r="F13" s="37">
        <f t="shared" si="0"/>
        <v>16</v>
      </c>
    </row>
    <row r="14" spans="1:7" x14ac:dyDescent="0.25">
      <c r="A14" s="95">
        <v>9</v>
      </c>
      <c r="B14" s="84" t="s">
        <v>263</v>
      </c>
      <c r="C14" s="96">
        <v>1</v>
      </c>
      <c r="D14" s="30"/>
      <c r="E14" s="30"/>
      <c r="F14" s="37">
        <f t="shared" si="0"/>
        <v>1</v>
      </c>
    </row>
    <row r="15" spans="1:7" x14ac:dyDescent="0.25">
      <c r="A15" s="156" t="s">
        <v>31</v>
      </c>
      <c r="B15" s="169"/>
      <c r="C15" s="39">
        <f>SUM(C6:C14)</f>
        <v>197</v>
      </c>
      <c r="D15" s="39">
        <f>SUM(D6:D14)</f>
        <v>255</v>
      </c>
      <c r="E15" s="39">
        <f>SUM(E6:E14)</f>
        <v>389</v>
      </c>
      <c r="F15" s="39">
        <f t="shared" si="0"/>
        <v>841</v>
      </c>
    </row>
  </sheetData>
  <mergeCells count="5">
    <mergeCell ref="A3:A4"/>
    <mergeCell ref="B3:B4"/>
    <mergeCell ref="C3:E3"/>
    <mergeCell ref="F3:F4"/>
    <mergeCell ref="A15:B15"/>
  </mergeCells>
  <hyperlinks>
    <hyperlink ref="G1" location="'Daftar Tabel'!A1" display="&lt;&lt;&lt; Daftar Tabel"/>
  </hyperlinks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8.7109375" defaultRowHeight="15" x14ac:dyDescent="0.25"/>
  <cols>
    <col min="1" max="1" width="5.7109375" style="1" customWidth="1"/>
    <col min="2" max="2" width="28.7109375" style="1" customWidth="1"/>
    <col min="3" max="3" width="24.7109375" style="1" customWidth="1"/>
    <col min="4" max="4" width="16.7109375" style="1" customWidth="1"/>
    <col min="5" max="5" width="14.7109375" style="1" bestFit="1" customWidth="1"/>
    <col min="6" max="16384" width="8.7109375" style="1"/>
  </cols>
  <sheetData>
    <row r="1" spans="1:5" x14ac:dyDescent="0.25">
      <c r="A1" s="24" t="s">
        <v>380</v>
      </c>
      <c r="E1" s="127" t="s">
        <v>374</v>
      </c>
    </row>
    <row r="3" spans="1:5" ht="38.25" x14ac:dyDescent="0.25">
      <c r="A3" s="29" t="s">
        <v>0</v>
      </c>
      <c r="B3" s="29" t="s">
        <v>233</v>
      </c>
      <c r="C3" s="29" t="s">
        <v>234</v>
      </c>
      <c r="D3" s="29" t="s">
        <v>235</v>
      </c>
    </row>
    <row r="4" spans="1:5" x14ac:dyDescent="0.25">
      <c r="A4" s="22">
        <v>1</v>
      </c>
      <c r="B4" s="22">
        <v>2</v>
      </c>
      <c r="C4" s="22">
        <v>3</v>
      </c>
      <c r="D4" s="22">
        <v>4</v>
      </c>
    </row>
    <row r="5" spans="1:5" x14ac:dyDescent="0.25">
      <c r="A5" s="116">
        <v>1</v>
      </c>
      <c r="B5" s="105" t="s">
        <v>276</v>
      </c>
      <c r="C5" s="105" t="s">
        <v>279</v>
      </c>
      <c r="D5" s="30">
        <v>2</v>
      </c>
    </row>
    <row r="6" spans="1:5" x14ac:dyDescent="0.25">
      <c r="A6" s="116">
        <v>2</v>
      </c>
      <c r="B6" s="105" t="s">
        <v>276</v>
      </c>
      <c r="C6" s="105" t="s">
        <v>280</v>
      </c>
      <c r="D6" s="30">
        <v>1</v>
      </c>
    </row>
    <row r="7" spans="1:5" x14ac:dyDescent="0.25">
      <c r="A7" s="116">
        <v>3</v>
      </c>
      <c r="B7" s="105" t="s">
        <v>277</v>
      </c>
      <c r="C7" s="105" t="s">
        <v>281</v>
      </c>
      <c r="D7" s="30">
        <v>4</v>
      </c>
    </row>
    <row r="8" spans="1:5" x14ac:dyDescent="0.25">
      <c r="A8" s="116">
        <v>4</v>
      </c>
      <c r="B8" s="105" t="s">
        <v>278</v>
      </c>
      <c r="C8" s="105" t="s">
        <v>282</v>
      </c>
      <c r="D8" s="30">
        <v>5</v>
      </c>
    </row>
    <row r="9" spans="1:5" x14ac:dyDescent="0.25">
      <c r="A9" s="116">
        <v>5</v>
      </c>
      <c r="B9" s="105"/>
      <c r="C9" s="105"/>
      <c r="D9" s="30"/>
    </row>
    <row r="10" spans="1:5" x14ac:dyDescent="0.25">
      <c r="A10" s="116" t="s">
        <v>26</v>
      </c>
      <c r="B10" s="105"/>
      <c r="C10" s="105"/>
      <c r="D10" s="30"/>
    </row>
    <row r="11" spans="1:5" x14ac:dyDescent="0.25">
      <c r="A11" s="170"/>
      <c r="B11" s="170"/>
      <c r="C11" s="25">
        <f>COUNTA(C5:C10)</f>
        <v>4</v>
      </c>
      <c r="D11" s="104"/>
    </row>
  </sheetData>
  <mergeCells count="1">
    <mergeCell ref="A11:B11"/>
  </mergeCells>
  <hyperlinks>
    <hyperlink ref="E1" location="'Daftar Tabel'!A1" display="&lt;&lt;&lt; Daftar Tabel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36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6" sqref="B6"/>
    </sheetView>
  </sheetViews>
  <sheetFormatPr defaultColWidth="8.7109375" defaultRowHeight="15" x14ac:dyDescent="0.25"/>
  <cols>
    <col min="1" max="1" width="5.7109375" style="2" customWidth="1"/>
    <col min="2" max="2" width="32.7109375" style="2" customWidth="1"/>
    <col min="3" max="3" width="12.7109375" style="3" customWidth="1"/>
    <col min="4" max="4" width="24.7109375" style="2" customWidth="1"/>
    <col min="5" max="5" width="14.7109375" style="2" bestFit="1" customWidth="1"/>
    <col min="6" max="16384" width="8.7109375" style="2"/>
  </cols>
  <sheetData>
    <row r="1" spans="1:5" x14ac:dyDescent="0.25">
      <c r="A1" s="45" t="s">
        <v>273</v>
      </c>
      <c r="E1" s="127" t="s">
        <v>374</v>
      </c>
    </row>
    <row r="2" spans="1:5" x14ac:dyDescent="0.25">
      <c r="A2" s="58"/>
    </row>
    <row r="3" spans="1:5" x14ac:dyDescent="0.25">
      <c r="A3" s="51" t="s">
        <v>209</v>
      </c>
      <c r="B3" s="51" t="s">
        <v>265</v>
      </c>
      <c r="C3" s="51" t="s">
        <v>108</v>
      </c>
      <c r="D3" s="51" t="s">
        <v>8</v>
      </c>
    </row>
    <row r="4" spans="1:5" x14ac:dyDescent="0.25">
      <c r="A4" s="67">
        <v>1</v>
      </c>
      <c r="B4" s="67">
        <v>2</v>
      </c>
      <c r="C4" s="67">
        <v>3</v>
      </c>
      <c r="D4" s="67">
        <v>4</v>
      </c>
    </row>
    <row r="5" spans="1:5" x14ac:dyDescent="0.25">
      <c r="A5" s="55" t="s">
        <v>236</v>
      </c>
      <c r="B5" s="172" t="s">
        <v>274</v>
      </c>
      <c r="C5" s="173"/>
      <c r="D5" s="174"/>
    </row>
    <row r="6" spans="1:5" x14ac:dyDescent="0.25">
      <c r="A6" s="53">
        <v>1</v>
      </c>
      <c r="B6" s="105" t="s">
        <v>283</v>
      </c>
      <c r="C6" s="54"/>
      <c r="D6" s="49"/>
    </row>
    <row r="7" spans="1:5" x14ac:dyDescent="0.25">
      <c r="A7" s="53">
        <v>2</v>
      </c>
      <c r="B7" s="105" t="s">
        <v>284</v>
      </c>
      <c r="C7" s="54"/>
      <c r="D7" s="49"/>
    </row>
    <row r="8" spans="1:5" x14ac:dyDescent="0.25">
      <c r="A8" s="53"/>
      <c r="B8" s="105"/>
      <c r="C8" s="54"/>
      <c r="D8" s="49"/>
    </row>
    <row r="9" spans="1:5" x14ac:dyDescent="0.25">
      <c r="A9" s="53"/>
      <c r="B9" s="105"/>
      <c r="C9" s="54"/>
      <c r="D9" s="49"/>
    </row>
    <row r="10" spans="1:5" x14ac:dyDescent="0.25">
      <c r="A10" s="53"/>
      <c r="B10" s="105"/>
      <c r="C10" s="54"/>
      <c r="D10" s="49"/>
    </row>
    <row r="11" spans="1:5" x14ac:dyDescent="0.25">
      <c r="A11" s="171" t="s">
        <v>31</v>
      </c>
      <c r="B11" s="171"/>
      <c r="C11" s="53">
        <f>COUNTA(B6:B10)</f>
        <v>2</v>
      </c>
      <c r="D11" s="20"/>
    </row>
    <row r="12" spans="1:5" ht="42" customHeight="1" x14ac:dyDescent="0.25">
      <c r="A12" s="98" t="s">
        <v>237</v>
      </c>
      <c r="B12" s="172" t="s">
        <v>275</v>
      </c>
      <c r="C12" s="173"/>
      <c r="D12" s="174"/>
    </row>
    <row r="13" spans="1:5" x14ac:dyDescent="0.25">
      <c r="A13" s="53">
        <v>1</v>
      </c>
      <c r="B13" s="105" t="s">
        <v>285</v>
      </c>
      <c r="C13" s="54"/>
      <c r="D13" s="49"/>
    </row>
    <row r="14" spans="1:5" x14ac:dyDescent="0.25">
      <c r="A14" s="53">
        <v>2</v>
      </c>
      <c r="B14" s="105" t="s">
        <v>286</v>
      </c>
      <c r="C14" s="54"/>
      <c r="D14" s="49"/>
    </row>
    <row r="15" spans="1:5" x14ac:dyDescent="0.25">
      <c r="A15" s="53">
        <v>3</v>
      </c>
      <c r="B15" s="105" t="s">
        <v>287</v>
      </c>
      <c r="C15" s="54"/>
      <c r="D15" s="49"/>
    </row>
    <row r="16" spans="1:5" ht="25.5" x14ac:dyDescent="0.25">
      <c r="A16" s="53">
        <v>4</v>
      </c>
      <c r="B16" s="105" t="s">
        <v>288</v>
      </c>
      <c r="C16" s="54"/>
      <c r="D16" s="49"/>
    </row>
    <row r="17" spans="1:4" x14ac:dyDescent="0.25">
      <c r="A17" s="53"/>
      <c r="B17" s="105"/>
      <c r="C17" s="54"/>
      <c r="D17" s="49"/>
    </row>
    <row r="18" spans="1:4" x14ac:dyDescent="0.25">
      <c r="A18" s="53"/>
      <c r="B18" s="105"/>
      <c r="C18" s="54"/>
      <c r="D18" s="49"/>
    </row>
    <row r="19" spans="1:4" x14ac:dyDescent="0.25">
      <c r="A19" s="171" t="s">
        <v>31</v>
      </c>
      <c r="B19" s="171"/>
      <c r="C19" s="53">
        <f>COUNTA(B13:B18)</f>
        <v>4</v>
      </c>
      <c r="D19" s="20"/>
    </row>
    <row r="20" spans="1:4" ht="28.9" customHeight="1" x14ac:dyDescent="0.25">
      <c r="A20" s="55" t="s">
        <v>238</v>
      </c>
      <c r="B20" s="172" t="s">
        <v>266</v>
      </c>
      <c r="C20" s="173"/>
      <c r="D20" s="174"/>
    </row>
    <row r="21" spans="1:4" x14ac:dyDescent="0.25">
      <c r="A21" s="53">
        <v>1</v>
      </c>
      <c r="B21" s="105" t="s">
        <v>297</v>
      </c>
      <c r="C21" s="54"/>
      <c r="D21" s="49"/>
    </row>
    <row r="22" spans="1:4" x14ac:dyDescent="0.25">
      <c r="A22" s="53"/>
      <c r="B22" s="105"/>
      <c r="C22" s="54"/>
      <c r="D22" s="49"/>
    </row>
    <row r="23" spans="1:4" x14ac:dyDescent="0.25">
      <c r="A23" s="53"/>
      <c r="B23" s="105"/>
      <c r="C23" s="54"/>
      <c r="D23" s="49"/>
    </row>
    <row r="24" spans="1:4" x14ac:dyDescent="0.25">
      <c r="A24" s="171" t="s">
        <v>31</v>
      </c>
      <c r="B24" s="171"/>
      <c r="C24" s="53">
        <f>COUNTA(B21:B23)</f>
        <v>1</v>
      </c>
      <c r="D24" s="20"/>
    </row>
    <row r="25" spans="1:4" x14ac:dyDescent="0.25">
      <c r="A25" s="55" t="s">
        <v>239</v>
      </c>
      <c r="B25" s="172" t="s">
        <v>267</v>
      </c>
      <c r="C25" s="173"/>
      <c r="D25" s="174"/>
    </row>
    <row r="26" spans="1:4" x14ac:dyDescent="0.25">
      <c r="A26" s="53">
        <v>1</v>
      </c>
      <c r="B26" s="105" t="s">
        <v>289</v>
      </c>
      <c r="C26" s="54"/>
      <c r="D26" s="49"/>
    </row>
    <row r="27" spans="1:4" x14ac:dyDescent="0.25">
      <c r="A27" s="53">
        <v>2</v>
      </c>
      <c r="B27" s="105" t="s">
        <v>290</v>
      </c>
      <c r="C27" s="54"/>
      <c r="D27" s="49"/>
    </row>
    <row r="28" spans="1:4" x14ac:dyDescent="0.25">
      <c r="A28" s="53">
        <v>3</v>
      </c>
      <c r="B28" s="105" t="s">
        <v>291</v>
      </c>
      <c r="C28" s="54"/>
      <c r="D28" s="49"/>
    </row>
    <row r="29" spans="1:4" x14ac:dyDescent="0.25">
      <c r="A29" s="53">
        <v>4</v>
      </c>
      <c r="B29" s="105" t="s">
        <v>292</v>
      </c>
      <c r="C29" s="54"/>
      <c r="D29" s="49"/>
    </row>
    <row r="30" spans="1:4" x14ac:dyDescent="0.25">
      <c r="A30" s="53">
        <v>5</v>
      </c>
      <c r="B30" s="105" t="s">
        <v>293</v>
      </c>
      <c r="C30" s="54"/>
      <c r="D30" s="49"/>
    </row>
    <row r="31" spans="1:4" x14ac:dyDescent="0.25">
      <c r="A31" s="53">
        <v>6</v>
      </c>
      <c r="B31" s="105" t="s">
        <v>294</v>
      </c>
      <c r="C31" s="54"/>
      <c r="D31" s="49"/>
    </row>
    <row r="32" spans="1:4" x14ac:dyDescent="0.25">
      <c r="A32" s="53">
        <v>7</v>
      </c>
      <c r="B32" s="105" t="s">
        <v>295</v>
      </c>
      <c r="C32" s="54"/>
      <c r="D32" s="49"/>
    </row>
    <row r="33" spans="1:4" x14ac:dyDescent="0.25">
      <c r="A33" s="53">
        <v>8</v>
      </c>
      <c r="B33" s="105" t="s">
        <v>296</v>
      </c>
      <c r="C33" s="54"/>
      <c r="D33" s="49"/>
    </row>
    <row r="34" spans="1:4" x14ac:dyDescent="0.25">
      <c r="A34" s="53"/>
      <c r="B34" s="105"/>
      <c r="C34" s="54"/>
      <c r="D34" s="49"/>
    </row>
    <row r="35" spans="1:4" x14ac:dyDescent="0.25">
      <c r="A35" s="53"/>
      <c r="B35" s="105"/>
      <c r="C35" s="54"/>
      <c r="D35" s="49"/>
    </row>
    <row r="36" spans="1:4" x14ac:dyDescent="0.25">
      <c r="A36" s="171" t="s">
        <v>31</v>
      </c>
      <c r="B36" s="171"/>
      <c r="C36" s="53">
        <f>COUNTA(B26:B35)</f>
        <v>8</v>
      </c>
      <c r="D36" s="20"/>
    </row>
  </sheetData>
  <mergeCells count="8">
    <mergeCell ref="A19:B19"/>
    <mergeCell ref="A24:B24"/>
    <mergeCell ref="A36:B36"/>
    <mergeCell ref="B5:D5"/>
    <mergeCell ref="B20:D20"/>
    <mergeCell ref="B25:D25"/>
    <mergeCell ref="B12:D12"/>
    <mergeCell ref="A11:B11"/>
  </mergeCells>
  <hyperlinks>
    <hyperlink ref="E1" location="'Daftar Tabel'!A1" display="&lt;&lt;&lt; Daftar Tabel"/>
  </hyperlink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Menu</vt:lpstr>
      <vt:lpstr>Daftar Tabel</vt:lpstr>
      <vt:lpstr>1a1</vt:lpstr>
      <vt:lpstr>1a2</vt:lpstr>
      <vt:lpstr>1a3</vt:lpstr>
      <vt:lpstr>1b</vt:lpstr>
      <vt:lpstr>1c</vt:lpstr>
      <vt:lpstr>2a</vt:lpstr>
      <vt:lpstr>2b</vt:lpstr>
      <vt:lpstr>3a1</vt:lpstr>
      <vt:lpstr>3a2</vt:lpstr>
      <vt:lpstr>3a3</vt:lpstr>
      <vt:lpstr>3a4</vt:lpstr>
      <vt:lpstr>3b</vt:lpstr>
      <vt:lpstr>3c1</vt:lpstr>
      <vt:lpstr>3c2</vt:lpstr>
      <vt:lpstr>3d</vt:lpstr>
      <vt:lpstr>4a</vt:lpstr>
      <vt:lpstr>4b</vt:lpstr>
      <vt:lpstr>5a1</vt:lpstr>
      <vt:lpstr>5b1</vt:lpstr>
      <vt:lpstr>5b2</vt:lpstr>
      <vt:lpstr>5c1</vt:lpstr>
      <vt:lpstr>5c2</vt:lpstr>
      <vt:lpstr>Ref 5d1d2e2</vt:lpstr>
      <vt:lpstr>5d1</vt:lpstr>
      <vt:lpstr>5d2</vt:lpstr>
      <vt:lpstr>Ref 5e1</vt:lpstr>
      <vt:lpstr>5e1</vt:lpstr>
      <vt:lpstr>5e2</vt:lpstr>
      <vt:lpstr>5f</vt:lpstr>
      <vt:lpstr>5g</vt:lpstr>
      <vt:lpstr>5h</vt:lpstr>
    </vt:vector>
  </TitlesOfParts>
  <Company>NTU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Radon Dhelika</dc:creator>
  <cp:lastModifiedBy>ASUS</cp:lastModifiedBy>
  <cp:lastPrinted>2018-07-27T08:27:12Z</cp:lastPrinted>
  <dcterms:created xsi:type="dcterms:W3CDTF">2009-07-06T01:37:37Z</dcterms:created>
  <dcterms:modified xsi:type="dcterms:W3CDTF">2019-04-14T11:41:12Z</dcterms:modified>
</cp:coreProperties>
</file>